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20460" windowHeight="7395"/>
  </bookViews>
  <sheets>
    <sheet name="Menu" sheetId="2" r:id="rId1"/>
    <sheet name="Repository" sheetId="1" r:id="rId2"/>
    <sheet name="Checklist" sheetId="9" state="hidden" r:id="rId3"/>
    <sheet name="Water Sewer Calc" sheetId="11" r:id="rId4"/>
    <sheet name="DR" sheetId="12" state="hidden" r:id="rId5"/>
    <sheet name="CR" sheetId="13" state="hidden" r:id="rId6"/>
    <sheet name="Mail Merge" sheetId="3" state="hidden" r:id="rId7"/>
    <sheet name="Tariffs" sheetId="14" state="hidden" r:id="rId8"/>
    <sheet name="List Gen" sheetId="15" state="hidden" r:id="rId9"/>
  </sheets>
  <definedNames>
    <definedName name="Beg">'Water Sewer Calc'!$H$11</definedName>
    <definedName name="Beginning">'Water Sewer Calc'!$I$11</definedName>
    <definedName name="ChangeDate">'Water Sewer Calc'!$I$3</definedName>
    <definedName name="CustRef">Checklist!$B$8</definedName>
    <definedName name="CustRefRep">Repository!$G:$AD</definedName>
    <definedName name="End">'Water Sewer Calc'!$I$12</definedName>
    <definedName name="Fin">'Water Sewer Calc'!$H$12</definedName>
    <definedName name="_xlnm.Print_Area" localSheetId="2">Checklist!$A$1:$E$51</definedName>
    <definedName name="_xlnm.Print_Area" localSheetId="4">DR!$A$1:$M$18</definedName>
    <definedName name="_xlnm.Print_Area" localSheetId="3">'Water Sewer Calc'!$A$1:$F$61</definedName>
    <definedName name="_xlnm.Print_Titles" localSheetId="3">'Water Sewer Calc'!$8:$9</definedName>
    <definedName name="RAIndex">Menu!$B$4</definedName>
    <definedName name="RateChangeDate">'Water Sewer Calc'!$I$4</definedName>
    <definedName name="Repository">Repository!$A:$AC</definedName>
  </definedNames>
  <calcPr calcId="145621"/>
</workbook>
</file>

<file path=xl/calcChain.xml><?xml version="1.0" encoding="utf-8"?>
<calcChain xmlns="http://schemas.openxmlformats.org/spreadsheetml/2006/main">
  <c r="H12" i="2" l="1"/>
  <c r="G1" i="15" l="1"/>
  <c r="D3" i="15"/>
  <c r="F26" i="11" l="1"/>
  <c r="F25" i="11"/>
  <c r="K31" i="11"/>
  <c r="J32" i="11"/>
  <c r="K30" i="11"/>
  <c r="K29" i="11"/>
  <c r="K28" i="11"/>
  <c r="H16" i="11" l="1"/>
  <c r="H23" i="11" l="1"/>
  <c r="I31" i="11"/>
  <c r="H31" i="11"/>
  <c r="J31" i="11" s="1"/>
  <c r="J23" i="11"/>
  <c r="I23" i="11"/>
  <c r="C19" i="9"/>
  <c r="C21" i="9"/>
  <c r="A16" i="12" l="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31" i="11"/>
  <c r="C18" i="9"/>
  <c r="H12" i="11"/>
  <c r="H11" i="11"/>
  <c r="B12" i="9"/>
  <c r="A12" i="12" s="1"/>
  <c r="B11" i="9"/>
  <c r="B10" i="9"/>
  <c r="B9" i="9"/>
  <c r="B8" i="9"/>
  <c r="B6" i="9"/>
  <c r="A2" i="11" s="1"/>
  <c r="B5" i="9"/>
  <c r="A1" i="11" s="1"/>
  <c r="H10" i="2"/>
  <c r="D4" i="9"/>
  <c r="H30" i="11" l="1"/>
  <c r="L29" i="11"/>
  <c r="L28" i="11"/>
  <c r="L31" i="11"/>
  <c r="M31" i="11" s="1"/>
  <c r="L30" i="11"/>
  <c r="I30" i="11"/>
  <c r="H22" i="11"/>
  <c r="I22" i="11"/>
  <c r="K21" i="11"/>
  <c r="K23" i="11" s="1"/>
  <c r="L23" i="11" s="1"/>
  <c r="K22" i="11"/>
  <c r="I21" i="11"/>
  <c r="I17" i="11"/>
  <c r="H17" i="2" s="1"/>
  <c r="I7" i="12"/>
  <c r="I11" i="12"/>
  <c r="I10" i="12"/>
  <c r="A3" i="11"/>
  <c r="H8" i="2" l="1"/>
  <c r="H6" i="2"/>
  <c r="H4" i="2"/>
  <c r="A9" i="15" l="1"/>
  <c r="P16" i="13"/>
  <c r="N15" i="13"/>
  <c r="N14" i="13"/>
  <c r="N13" i="13"/>
  <c r="N12" i="13"/>
  <c r="N10" i="13"/>
  <c r="N8" i="13"/>
  <c r="N7" i="13"/>
  <c r="O15" i="12"/>
  <c r="O14" i="12"/>
  <c r="O13" i="12"/>
  <c r="O12" i="12"/>
  <c r="O8" i="12"/>
  <c r="G5" i="12"/>
  <c r="A7" i="12"/>
  <c r="A10" i="12"/>
  <c r="A5" i="12"/>
  <c r="I11" i="11"/>
  <c r="F12" i="11"/>
  <c r="I12" i="11"/>
  <c r="I29" i="11" s="1"/>
  <c r="F14" i="11"/>
  <c r="F15" i="11"/>
  <c r="F16" i="11"/>
  <c r="B55" i="11"/>
  <c r="B56" i="11"/>
  <c r="I15" i="9"/>
  <c r="I14" i="9"/>
  <c r="I13" i="9"/>
  <c r="I7" i="9"/>
  <c r="H19" i="2" l="1"/>
  <c r="J28" i="11"/>
  <c r="J30" i="11"/>
  <c r="M30" i="11" s="1"/>
  <c r="J22" i="11"/>
  <c r="L22" i="11" s="1"/>
  <c r="J21" i="11"/>
  <c r="L21" i="11" s="1"/>
  <c r="I28" i="11"/>
  <c r="M28" i="11" s="1"/>
  <c r="H29" i="11"/>
  <c r="J29" i="11" s="1"/>
  <c r="M29" i="11" s="1"/>
  <c r="H21" i="11"/>
  <c r="H28" i="11"/>
  <c r="I16" i="11"/>
  <c r="H15" i="2" s="1"/>
  <c r="N16" i="13"/>
  <c r="F11" i="11"/>
  <c r="A13" i="12"/>
  <c r="G15" i="9"/>
  <c r="I6" i="9" l="1"/>
  <c r="F23" i="11"/>
  <c r="I12" i="9"/>
  <c r="F13" i="11"/>
  <c r="F17" i="11" s="1"/>
  <c r="J7" i="12" s="1"/>
  <c r="M7" i="12" l="1"/>
  <c r="O7" i="12" s="1"/>
  <c r="F24" i="11"/>
  <c r="F27" i="11" s="1"/>
  <c r="F29" i="11" l="1"/>
  <c r="J10" i="12"/>
  <c r="M10" i="12" s="1"/>
  <c r="I11" i="9"/>
  <c r="I5" i="9"/>
  <c r="I10" i="9" l="1"/>
  <c r="H21" i="2"/>
  <c r="I4" i="9"/>
  <c r="B32" i="9"/>
  <c r="O10" i="12"/>
  <c r="O16" i="12" s="1"/>
  <c r="J16" i="12"/>
  <c r="M16" i="12" l="1"/>
  <c r="Q16" i="12" s="1"/>
</calcChain>
</file>

<file path=xl/comments1.xml><?xml version="1.0" encoding="utf-8"?>
<comments xmlns="http://schemas.openxmlformats.org/spreadsheetml/2006/main">
  <authors>
    <author>Ellis, Bob</author>
    <author>Hill, Tia</author>
  </authors>
  <commentList>
    <comment ref="D1" authorId="0">
      <text>
        <r>
          <rPr>
            <sz val="8"/>
            <color indexed="81"/>
            <rFont val="Tahoma"/>
            <family val="2"/>
          </rPr>
          <t xml:space="preserve">Initial Review
On Hold
Actively Working
Out for Review
Approved
Revising
Completed
</t>
        </r>
      </text>
    </comment>
    <comment ref="E1" authorId="1">
      <text>
        <r>
          <rPr>
            <sz val="9"/>
            <color indexed="81"/>
            <rFont val="Tahoma"/>
            <family val="2"/>
          </rPr>
          <t>SF
MF
CM
IN</t>
        </r>
      </text>
    </comment>
    <comment ref="R1" authorId="1">
      <text>
        <r>
          <rPr>
            <b/>
            <sz val="9"/>
            <color indexed="81"/>
            <rFont val="Tahoma"/>
            <family val="2"/>
          </rPr>
          <t>Mgmt approval date</t>
        </r>
      </text>
    </comment>
  </commentList>
</comments>
</file>

<file path=xl/comments2.xml><?xml version="1.0" encoding="utf-8"?>
<comments xmlns="http://schemas.openxmlformats.org/spreadsheetml/2006/main">
  <authors>
    <author>Hill, Tia</author>
  </authors>
  <commentList>
    <comment ref="D4" authorId="0">
      <text>
        <r>
          <rPr>
            <sz val="9"/>
            <color indexed="81"/>
            <rFont val="Tahoma"/>
            <family val="2"/>
          </rPr>
          <t>From Dead Meter (DM) log</t>
        </r>
      </text>
    </comment>
    <comment ref="B5" authorId="0">
      <text>
        <r>
          <rPr>
            <sz val="9"/>
            <color indexed="81"/>
            <rFont val="Tahoma"/>
            <family val="2"/>
          </rPr>
          <t>From DM log</t>
        </r>
      </text>
    </comment>
    <comment ref="B6" authorId="0">
      <text>
        <r>
          <rPr>
            <sz val="9"/>
            <color indexed="81"/>
            <rFont val="Tahoma"/>
            <family val="2"/>
          </rPr>
          <t>From DM log</t>
        </r>
      </text>
    </comment>
    <comment ref="B8" authorId="0">
      <text>
        <r>
          <rPr>
            <sz val="9"/>
            <color indexed="81"/>
            <rFont val="Tahoma"/>
            <family val="2"/>
          </rPr>
          <t>From DM log</t>
        </r>
      </text>
    </comment>
    <comment ref="B9" authorId="0">
      <text>
        <r>
          <rPr>
            <sz val="9"/>
            <color indexed="81"/>
            <rFont val="Tahoma"/>
            <family val="2"/>
          </rPr>
          <t>From DM log</t>
        </r>
      </text>
    </comment>
    <comment ref="B10" authorId="0">
      <text>
        <r>
          <rPr>
            <sz val="9"/>
            <color indexed="81"/>
            <rFont val="Tahoma"/>
            <family val="2"/>
          </rPr>
          <t>From DM log</t>
        </r>
      </text>
    </comment>
    <comment ref="B11" authorId="0">
      <text>
        <r>
          <rPr>
            <sz val="9"/>
            <color indexed="81"/>
            <rFont val="Tahoma"/>
            <family val="2"/>
          </rPr>
          <t>From DM log</t>
        </r>
      </text>
    </comment>
    <comment ref="B12" authorId="0">
      <text>
        <r>
          <rPr>
            <sz val="9"/>
            <color indexed="81"/>
            <rFont val="Tahoma"/>
            <family val="2"/>
          </rPr>
          <t>From DM log</t>
        </r>
      </text>
    </comment>
    <comment ref="A17" authorId="0">
      <text>
        <r>
          <rPr>
            <b/>
            <sz val="9"/>
            <color indexed="81"/>
            <rFont val="Tahoma"/>
            <family val="2"/>
          </rPr>
          <t>Customer class section in Affinity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Run the Crystal Report for the service address</t>
        </r>
      </text>
    </comment>
    <comment ref="A18" authorId="0">
      <text>
        <r>
          <rPr>
            <b/>
            <sz val="9"/>
            <color indexed="81"/>
            <rFont val="Tahoma"/>
            <family val="2"/>
          </rPr>
          <t>Affinity front office under Account tab - review type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>
      <text>
        <r>
          <rPr>
            <b/>
            <sz val="9"/>
            <color indexed="81"/>
            <rFont val="Tahoma"/>
            <family val="2"/>
          </rPr>
          <t>Refer to the Water tab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Affinity front office on the Bills tab - confirm inside wtr/swr rate &amp; description</t>
        </r>
      </text>
    </comment>
    <comment ref="D19" authorId="0">
      <text>
        <r>
          <rPr>
            <b/>
            <sz val="9"/>
            <color indexed="81"/>
            <rFont val="Tahoma"/>
            <family val="2"/>
          </rPr>
          <t>Refer to the Water tab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 xml:space="preserve">Meter class info in the Affinity backoffice
3 - Sys Support
4 - Meter Classes Update </t>
        </r>
      </text>
    </comment>
    <comment ref="D20" authorId="0">
      <text>
        <r>
          <rPr>
            <b/>
            <sz val="9"/>
            <color indexed="81"/>
            <rFont val="Tahoma"/>
            <family val="2"/>
          </rPr>
          <t>Use letter template</t>
        </r>
        <r>
          <rPr>
            <sz val="9"/>
            <color indexed="81"/>
            <rFont val="Tahoma"/>
            <family val="2"/>
          </rPr>
          <t xml:space="preserve">
Go to M:\Customer Support\RA Audits\Dead Meter Project\Templates
Blank Form letter Dead meter Replaced Reset SF.docx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Property tab in Affinity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5" authorId="0">
      <text>
        <r>
          <rPr>
            <b/>
            <sz val="9"/>
            <color indexed="81"/>
            <rFont val="Tahoma"/>
            <family val="2"/>
          </rPr>
          <t>Select QOS on initial Affinity screen and select clear.</t>
        </r>
      </text>
    </comment>
    <comment ref="A26" authorId="0">
      <text>
        <r>
          <rPr>
            <b/>
            <sz val="9"/>
            <color indexed="81"/>
            <rFont val="Tahoma"/>
            <family val="2"/>
          </rPr>
          <t>Click Affinity button, select Customer Details to choose CI Pull Bill.
QOS event detail - Pull Bill to XX - RA# 
Passed to Date - Date after the cycle bill date according to the Billing Schedule.</t>
        </r>
      </text>
    </comment>
    <comment ref="A27" authorId="0">
      <text>
        <r>
          <rPr>
            <sz val="9"/>
            <color indexed="81"/>
            <rFont val="Tahoma"/>
            <family val="2"/>
          </rPr>
          <t xml:space="preserve">Affintiy Menu for backoffice/ 7 / N / BB/
# of mos / $x.xx / current date is the efft date / del after or exp date based on the # of mos out.
</t>
        </r>
      </text>
    </comment>
    <comment ref="A28" authorId="0">
      <text>
        <r>
          <rPr>
            <b/>
            <sz val="9"/>
            <color indexed="81"/>
            <rFont val="Tahoma"/>
            <family val="2"/>
          </rPr>
          <t>Create in Affinity</t>
        </r>
      </text>
    </comment>
    <comment ref="A29" authorId="0">
      <text>
        <r>
          <rPr>
            <b/>
            <sz val="9"/>
            <color indexed="81"/>
            <rFont val="Tahoma"/>
            <family val="2"/>
          </rPr>
          <t>Create in Affinity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sz val="9"/>
            <color indexed="81"/>
            <rFont val="Tahoma"/>
            <family val="2"/>
          </rPr>
          <t xml:space="preserve">Go to M:\Customer Support\RA Audits\Dead Meter Project 
Dead Meter Log 20180726.xlsx
</t>
        </r>
      </text>
    </comment>
  </commentList>
</comments>
</file>

<file path=xl/comments3.xml><?xml version="1.0" encoding="utf-8"?>
<comments xmlns="http://schemas.openxmlformats.org/spreadsheetml/2006/main">
  <authors>
    <author>Hill, Tia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Populates from the Checklist tab</t>
        </r>
      </text>
    </comment>
    <comment ref="A2" authorId="0">
      <text>
        <r>
          <rPr>
            <b/>
            <sz val="9"/>
            <color indexed="81"/>
            <rFont val="Tahoma"/>
            <family val="2"/>
          </rPr>
          <t>Populates from the Checklist tab</t>
        </r>
      </text>
    </comment>
    <comment ref="A3" authorId="0">
      <text>
        <r>
          <rPr>
            <b/>
            <sz val="9"/>
            <color indexed="81"/>
            <rFont val="Tahoma"/>
            <family val="2"/>
          </rPr>
          <t>Populates from the Checklist tab</t>
        </r>
      </text>
    </comment>
  </commentList>
</comments>
</file>

<file path=xl/comments4.xml><?xml version="1.0" encoding="utf-8"?>
<comments xmlns="http://schemas.openxmlformats.org/spreadsheetml/2006/main">
  <authors>
    <author>KRANDELL-CLARK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KRANDELL-CLARK:</t>
        </r>
        <r>
          <rPr>
            <sz val="8"/>
            <color indexed="81"/>
            <rFont val="Tahoma"/>
            <family val="2"/>
          </rPr>
          <t xml:space="preserve">
Don’t input info
</t>
        </r>
      </text>
    </comment>
    <comment ref="A7" authorId="0">
      <text>
        <r>
          <rPr>
            <b/>
            <sz val="8"/>
            <color indexed="81"/>
            <rFont val="Tahoma"/>
            <family val="2"/>
          </rPr>
          <t>KRANDELL-CLARK:</t>
        </r>
        <r>
          <rPr>
            <sz val="8"/>
            <color indexed="81"/>
            <rFont val="Tahoma"/>
            <family val="2"/>
          </rPr>
          <t xml:space="preserve">
Don’t input info</t>
        </r>
      </text>
    </comment>
    <comment ref="A10" authorId="0">
      <text>
        <r>
          <rPr>
            <b/>
            <sz val="8"/>
            <color indexed="81"/>
            <rFont val="Tahoma"/>
            <family val="2"/>
          </rPr>
          <t>KRANDELL-CLARK:</t>
        </r>
        <r>
          <rPr>
            <sz val="8"/>
            <color indexed="81"/>
            <rFont val="Tahoma"/>
            <family val="2"/>
          </rPr>
          <t xml:space="preserve">
Don’t input info</t>
        </r>
      </text>
    </comment>
  </commentList>
</comments>
</file>

<file path=xl/comments5.xml><?xml version="1.0" encoding="utf-8"?>
<comments xmlns="http://schemas.openxmlformats.org/spreadsheetml/2006/main">
  <authors>
    <author>Hill, Tia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Reviewed/Approval by Mgmt</t>
        </r>
      </text>
    </comment>
  </commentList>
</comments>
</file>

<file path=xl/sharedStrings.xml><?xml version="1.0" encoding="utf-8"?>
<sst xmlns="http://schemas.openxmlformats.org/spreadsheetml/2006/main" count="711" uniqueCount="329">
  <si>
    <t>ID</t>
  </si>
  <si>
    <t>Analyst</t>
  </si>
  <si>
    <t>Rcvd</t>
  </si>
  <si>
    <t>Status</t>
  </si>
  <si>
    <t>CustType</t>
  </si>
  <si>
    <t>Bk</t>
  </si>
  <si>
    <t>CustRef</t>
  </si>
  <si>
    <t>Name</t>
  </si>
  <si>
    <t>Address</t>
  </si>
  <si>
    <t>PropRef</t>
  </si>
  <si>
    <t>OldMtr</t>
  </si>
  <si>
    <t>NewMtr</t>
  </si>
  <si>
    <t>Replaced</t>
  </si>
  <si>
    <t>Worked</t>
  </si>
  <si>
    <t>Backbill$</t>
  </si>
  <si>
    <t>BackbillPd</t>
  </si>
  <si>
    <t>BackbillMos</t>
  </si>
  <si>
    <t>Rvwd</t>
  </si>
  <si>
    <t>Cmpltd</t>
  </si>
  <si>
    <t>Notes</t>
  </si>
  <si>
    <t>Jacob</t>
  </si>
  <si>
    <t>CM</t>
  </si>
  <si>
    <t>MF</t>
  </si>
  <si>
    <t>SF</t>
  </si>
  <si>
    <t>Dead Meter Checklist</t>
  </si>
  <si>
    <t>Memos</t>
  </si>
  <si>
    <t>Back Bill Memo</t>
  </si>
  <si>
    <t>RA Log ID:</t>
  </si>
  <si>
    <t>Customer:</t>
  </si>
  <si>
    <t>Address:</t>
  </si>
  <si>
    <t>Analyst:</t>
  </si>
  <si>
    <t>Account #:</t>
  </si>
  <si>
    <t>Property Reference:</t>
  </si>
  <si>
    <t>D/C Memo</t>
  </si>
  <si>
    <t>Old Meter:</t>
  </si>
  <si>
    <t>New Meter:</t>
  </si>
  <si>
    <t>Replacement Date:</t>
  </si>
  <si>
    <t>(Other Meters on Propety):</t>
  </si>
  <si>
    <t>Filepath:</t>
  </si>
  <si>
    <t>Property Review:</t>
  </si>
  <si>
    <t>Steps/Submit for Approval:</t>
  </si>
  <si>
    <t>Customer Class</t>
  </si>
  <si>
    <t>x</t>
  </si>
  <si>
    <t>Usage Report</t>
  </si>
  <si>
    <t>Customer Type</t>
  </si>
  <si>
    <t>Average Calculated</t>
  </si>
  <si>
    <t>Inside/Outside</t>
  </si>
  <si>
    <t>Adjustment Calculated</t>
  </si>
  <si>
    <t>Meter Class</t>
  </si>
  <si>
    <t>Letter Created</t>
  </si>
  <si>
    <t>Review Sewer Cap</t>
  </si>
  <si>
    <t>Post Approval:</t>
  </si>
  <si>
    <t>QOS Event Closed</t>
  </si>
  <si>
    <t>CI Pull Bill</t>
  </si>
  <si>
    <t xml:space="preserve"> BB Customer Classification</t>
  </si>
  <si>
    <t>BB Customer Memo Created</t>
  </si>
  <si>
    <t>DR/CR Customer Memo Created</t>
  </si>
  <si>
    <t>Update &amp; Close DM Log As Completed</t>
  </si>
  <si>
    <t>Print Water/Sewer Calc &amp; Mail w/ Letter</t>
  </si>
  <si>
    <t>Call Customer</t>
  </si>
  <si>
    <t xml:space="preserve"> </t>
  </si>
  <si>
    <t>Verify DR/CR on Account</t>
  </si>
  <si>
    <t>Average Consumption</t>
  </si>
  <si>
    <t>Total Consumption</t>
  </si>
  <si>
    <t xml:space="preserve">Consumption </t>
  </si>
  <si>
    <t>Month Averaged</t>
  </si>
  <si>
    <t>Total Charges</t>
  </si>
  <si>
    <t>Total Sewer Charges</t>
  </si>
  <si>
    <t>(5)=(1)*(2)*(3)*(4)</t>
  </si>
  <si>
    <t>(4)</t>
  </si>
  <si>
    <t>Charges</t>
  </si>
  <si>
    <t>Rate</t>
  </si>
  <si>
    <t>Cap</t>
  </si>
  <si>
    <t>Consumption</t>
  </si>
  <si>
    <t>Estimated</t>
  </si>
  <si>
    <t>Number of Months</t>
  </si>
  <si>
    <t>Period</t>
  </si>
  <si>
    <t>SEWER</t>
  </si>
  <si>
    <t>Total Water Charges</t>
  </si>
  <si>
    <t>Previously billed</t>
  </si>
  <si>
    <t>End</t>
  </si>
  <si>
    <t>Beginning</t>
  </si>
  <si>
    <t>Months to be back billed</t>
  </si>
  <si>
    <t>(4)=(1)*(2)*(3)</t>
  </si>
  <si>
    <t>WATER</t>
  </si>
  <si>
    <t>Change Date</t>
  </si>
  <si>
    <t>UTILITIES SERVICES</t>
  </si>
  <si>
    <t>DEBIT MEMO - Backbilling</t>
  </si>
  <si>
    <t>ACCOUNT NO.</t>
  </si>
  <si>
    <t>DEPOSIT NO.</t>
  </si>
  <si>
    <t>DATE</t>
  </si>
  <si>
    <t>AGE</t>
  </si>
  <si>
    <t>DC</t>
  </si>
  <si>
    <t>BA</t>
  </si>
  <si>
    <t>NAME</t>
  </si>
  <si>
    <t>RATE</t>
  </si>
  <si>
    <t>AMOUNT</t>
  </si>
  <si>
    <t>W311</t>
  </si>
  <si>
    <t>FUND</t>
  </si>
  <si>
    <t>ADDRESS</t>
  </si>
  <si>
    <t>S301</t>
  </si>
  <si>
    <t>REASON FOR DEBIT</t>
  </si>
  <si>
    <t>REFUSE</t>
  </si>
  <si>
    <t>STORM</t>
  </si>
  <si>
    <t>PEN</t>
  </si>
  <si>
    <t>FEE</t>
  </si>
  <si>
    <t>CLERK</t>
  </si>
  <si>
    <t>APPROVAL</t>
  </si>
  <si>
    <t>TOTAL $</t>
  </si>
  <si>
    <t>JI</t>
  </si>
  <si>
    <t>TUL-3871 - 1 - C</t>
  </si>
  <si>
    <t>User instructions:</t>
  </si>
  <si>
    <t>In the totals columns, enter the dollars to the left of the vertical dividing line with or without a decimal point.</t>
  </si>
  <si>
    <t>Enter the cents to the right of the vertical dividing line, preceded by a decimal point.</t>
  </si>
  <si>
    <t>The numbers in column O are dollars + cents from the totals columns and their sum appears in cell O16, as a check</t>
  </si>
  <si>
    <t>The number in column Q is to check the input of the total and should equal the number in cell O16.</t>
  </si>
  <si>
    <t>CREDIT MEMO</t>
  </si>
  <si>
    <t>TRAN CODE</t>
  </si>
  <si>
    <t>REASON FOR CREDIT</t>
  </si>
  <si>
    <t xml:space="preserve">RA </t>
  </si>
  <si>
    <t>TUL-387-G</t>
  </si>
  <si>
    <t>Tariff</t>
  </si>
  <si>
    <t>Type</t>
  </si>
  <si>
    <t>W107</t>
  </si>
  <si>
    <t>5/8,3/4</t>
  </si>
  <si>
    <t>W110</t>
  </si>
  <si>
    <t>1"</t>
  </si>
  <si>
    <t>W115</t>
  </si>
  <si>
    <t>1.5"</t>
  </si>
  <si>
    <t>W120</t>
  </si>
  <si>
    <t>2"</t>
  </si>
  <si>
    <t>W130</t>
  </si>
  <si>
    <t>3"</t>
  </si>
  <si>
    <t>W140</t>
  </si>
  <si>
    <t>4"</t>
  </si>
  <si>
    <t>W160</t>
  </si>
  <si>
    <t>6"</t>
  </si>
  <si>
    <t>W180</t>
  </si>
  <si>
    <t>8"</t>
  </si>
  <si>
    <t>W190</t>
  </si>
  <si>
    <t>10+"</t>
  </si>
  <si>
    <t>F140</t>
  </si>
  <si>
    <t>F160</t>
  </si>
  <si>
    <t>F180</t>
  </si>
  <si>
    <t>F190</t>
  </si>
  <si>
    <t>W321</t>
  </si>
  <si>
    <t>W331</t>
  </si>
  <si>
    <t>W341</t>
  </si>
  <si>
    <t>IND</t>
  </si>
  <si>
    <t>W342</t>
  </si>
  <si>
    <t>LgInd</t>
  </si>
  <si>
    <t>W351</t>
  </si>
  <si>
    <t>Park</t>
  </si>
  <si>
    <t>W352</t>
  </si>
  <si>
    <t>Night</t>
  </si>
  <si>
    <t>S107</t>
  </si>
  <si>
    <t>S110</t>
  </si>
  <si>
    <t>S115</t>
  </si>
  <si>
    <t>S120</t>
  </si>
  <si>
    <t>S130</t>
  </si>
  <si>
    <t>S140</t>
  </si>
  <si>
    <t>S160</t>
  </si>
  <si>
    <t>S180</t>
  </si>
  <si>
    <t>S190</t>
  </si>
  <si>
    <t>S303</t>
  </si>
  <si>
    <t>CM X</t>
  </si>
  <si>
    <t>S305</t>
  </si>
  <si>
    <t>CM XY</t>
  </si>
  <si>
    <t>I300</t>
  </si>
  <si>
    <t>IDP X</t>
  </si>
  <si>
    <t>I301</t>
  </si>
  <si>
    <t>IDP Bod</t>
  </si>
  <si>
    <t>I302</t>
  </si>
  <si>
    <t>IDP Tss</t>
  </si>
  <si>
    <t>S195</t>
  </si>
  <si>
    <t>Well Water</t>
  </si>
  <si>
    <t>S402</t>
  </si>
  <si>
    <t>Septic</t>
  </si>
  <si>
    <t>S404</t>
  </si>
  <si>
    <t>Septic AH</t>
  </si>
  <si>
    <t>R112</t>
  </si>
  <si>
    <t>Curbside 32g</t>
  </si>
  <si>
    <t>R111</t>
  </si>
  <si>
    <t>Curbside 64g</t>
  </si>
  <si>
    <t>R110</t>
  </si>
  <si>
    <t>Curbside 96g</t>
  </si>
  <si>
    <t>R122</t>
  </si>
  <si>
    <t>Curbside 96g 2 carts</t>
  </si>
  <si>
    <t>R115</t>
  </si>
  <si>
    <t>Backyard 32g</t>
  </si>
  <si>
    <t>R114</t>
  </si>
  <si>
    <t>Backyard 64g</t>
  </si>
  <si>
    <t>R113</t>
  </si>
  <si>
    <t>Backyard 96g</t>
  </si>
  <si>
    <t>R123</t>
  </si>
  <si>
    <t>Backyard 96g 2 carts</t>
  </si>
  <si>
    <t>R118</t>
  </si>
  <si>
    <t>Ext BY 32g</t>
  </si>
  <si>
    <t>R117</t>
  </si>
  <si>
    <t>Ext BY 64g</t>
  </si>
  <si>
    <t>R116</t>
  </si>
  <si>
    <t xml:space="preserve">Ext BY 96g </t>
  </si>
  <si>
    <t>Ext BY 96g 2 carts</t>
  </si>
  <si>
    <t>R137</t>
  </si>
  <si>
    <t>Physically Ltd 32g</t>
  </si>
  <si>
    <t>R136</t>
  </si>
  <si>
    <t>Physically Ltd 64g</t>
  </si>
  <si>
    <t>R135</t>
  </si>
  <si>
    <t>Physically Ltd 96g</t>
  </si>
  <si>
    <t>R138</t>
  </si>
  <si>
    <t>Additional 96g Cart</t>
  </si>
  <si>
    <t>R107</t>
  </si>
  <si>
    <t>R130</t>
  </si>
  <si>
    <t>R119</t>
  </si>
  <si>
    <t>R133</t>
  </si>
  <si>
    <t>R126</t>
  </si>
  <si>
    <t>R129</t>
  </si>
  <si>
    <t>R120</t>
  </si>
  <si>
    <t>R132</t>
  </si>
  <si>
    <t>R128</t>
  </si>
  <si>
    <t>R131</t>
  </si>
  <si>
    <t>R121</t>
  </si>
  <si>
    <t>R134</t>
  </si>
  <si>
    <t>R139</t>
  </si>
  <si>
    <t>H100</t>
  </si>
  <si>
    <t>E100</t>
  </si>
  <si>
    <t>W207</t>
  </si>
  <si>
    <t>W210</t>
  </si>
  <si>
    <t>W215</t>
  </si>
  <si>
    <t>W220</t>
  </si>
  <si>
    <t>W230</t>
  </si>
  <si>
    <t>W240</t>
  </si>
  <si>
    <t>W260</t>
  </si>
  <si>
    <t>W280</t>
  </si>
  <si>
    <t>W290</t>
  </si>
  <si>
    <t>F240</t>
  </si>
  <si>
    <t>F260</t>
  </si>
  <si>
    <t>F280</t>
  </si>
  <si>
    <t>F290</t>
  </si>
  <si>
    <t>W411</t>
  </si>
  <si>
    <t>W421</t>
  </si>
  <si>
    <t>W431</t>
  </si>
  <si>
    <t>W441</t>
  </si>
  <si>
    <t>W442</t>
  </si>
  <si>
    <t>W451</t>
  </si>
  <si>
    <t>W452</t>
  </si>
  <si>
    <t>W461</t>
  </si>
  <si>
    <t>Oologah</t>
  </si>
  <si>
    <t>W462</t>
  </si>
  <si>
    <t>Spavinaw</t>
  </si>
  <si>
    <t>W463</t>
  </si>
  <si>
    <t>Jay</t>
  </si>
  <si>
    <t>W465</t>
  </si>
  <si>
    <t>ONG</t>
  </si>
  <si>
    <t>W471</t>
  </si>
  <si>
    <t>Perm Master</t>
  </si>
  <si>
    <t>W472</t>
  </si>
  <si>
    <t>Emer Master</t>
  </si>
  <si>
    <t>W473</t>
  </si>
  <si>
    <t>Temp Master</t>
  </si>
  <si>
    <t>S207</t>
  </si>
  <si>
    <t>S210</t>
  </si>
  <si>
    <t>S215</t>
  </si>
  <si>
    <t>S220</t>
  </si>
  <si>
    <t>S230</t>
  </si>
  <si>
    <t>S240</t>
  </si>
  <si>
    <t>S260</t>
  </si>
  <si>
    <t>S280</t>
  </si>
  <si>
    <t>S290</t>
  </si>
  <si>
    <t>S401</t>
  </si>
  <si>
    <t>S403</t>
  </si>
  <si>
    <t>S405</t>
  </si>
  <si>
    <t>I400</t>
  </si>
  <si>
    <t>I401</t>
  </si>
  <si>
    <t>I402</t>
  </si>
  <si>
    <t>S295</t>
  </si>
  <si>
    <t>S414</t>
  </si>
  <si>
    <t>Wholesale</t>
  </si>
  <si>
    <t>RA#</t>
  </si>
  <si>
    <t>Months</t>
  </si>
  <si>
    <t>Usage</t>
  </si>
  <si>
    <t>Previously Billed</t>
  </si>
  <si>
    <t>Account #</t>
  </si>
  <si>
    <t>Old Meter</t>
  </si>
  <si>
    <t>New Meter</t>
  </si>
  <si>
    <t>Start</t>
  </si>
  <si>
    <t>Input</t>
  </si>
  <si>
    <t>Old Sewer Cap</t>
  </si>
  <si>
    <t>New Sewer Cap</t>
  </si>
  <si>
    <t>Meter Change</t>
  </si>
  <si>
    <t>Mailing Addy</t>
  </si>
  <si>
    <t>City State Zip</t>
  </si>
  <si>
    <t>Prev Sewar Cap</t>
  </si>
  <si>
    <t>Outstart</t>
  </si>
  <si>
    <t>Outend</t>
  </si>
  <si>
    <t>Sewer Cap</t>
  </si>
  <si>
    <t>WaterTariff</t>
  </si>
  <si>
    <t>SewerTariff</t>
  </si>
  <si>
    <t>Mailing Address</t>
  </si>
  <si>
    <t>City,State, Zip</t>
  </si>
  <si>
    <t>Water Tariff</t>
  </si>
  <si>
    <t>Sewer Tariff</t>
  </si>
  <si>
    <t>Out For Review</t>
  </si>
  <si>
    <t>CityStatezip</t>
  </si>
  <si>
    <t>Service Address</t>
  </si>
  <si>
    <t>Bill cycle</t>
  </si>
  <si>
    <t>BeginOut</t>
  </si>
  <si>
    <t>EndOut</t>
  </si>
  <si>
    <t>Replace Date</t>
  </si>
  <si>
    <t>Total</t>
  </si>
  <si>
    <t>Review</t>
  </si>
  <si>
    <t>To be Worked</t>
  </si>
  <si>
    <t>NP00000000</t>
  </si>
  <si>
    <t>Initial Review</t>
  </si>
  <si>
    <t>On Hold</t>
  </si>
  <si>
    <t>Approved</t>
  </si>
  <si>
    <t>Complete</t>
  </si>
  <si>
    <t>Scratch</t>
  </si>
  <si>
    <t>Rates</t>
  </si>
  <si>
    <t>Totals</t>
  </si>
  <si>
    <t>NP1375555</t>
  </si>
  <si>
    <t>UserID</t>
  </si>
  <si>
    <t>JIDE</t>
  </si>
  <si>
    <t>Property</t>
  </si>
  <si>
    <t>X</t>
  </si>
  <si>
    <t>Turanga Leela</t>
  </si>
  <si>
    <t>144 Fake St.</t>
  </si>
  <si>
    <t>New York, New York</t>
  </si>
  <si>
    <t>Long Island 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</si>
</sst>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yy;@"/>
    <numFmt numFmtId="165" formatCode="_(* #,##0_);_(* \(#,##0\);_(* &quot;-&quot;??_);_(@_)"/>
    <numFmt numFmtId="166" formatCode="[$-409]mmm\-yy;@"/>
    <numFmt numFmtId="167" formatCode="0_);\(0\)"/>
    <numFmt numFmtId="169" formatCode="_(#,##0_);_(\(#,##0\);_(#,##0_);_(@_)"/>
    <numFmt numFmtId="170" formatCode="_(#,###.00_);_(\(#,###.00\);_(#,###.00_);_(@_)"/>
    <numFmt numFmtId="171" formatCode="_(#,##0.00_);_(\(#,##0.00\);_(#,##0.00_);_(@_)"/>
    <numFmt numFmtId="172" formatCode="_(* #,##0.0000_);_(* \(#,##0.0000\);_(* &quot;-&quot;??_);_(@_)"/>
    <numFmt numFmtId="173" formatCode="[$-409]mmmm\ d\,\ yyyy;@"/>
    <numFmt numFmtId="174" formatCode="&quot;$&quot;#,##0.00"/>
  </numFmts>
  <fonts count="32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u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u/>
      <sz val="10"/>
      <name val="Arial"/>
      <family val="2"/>
    </font>
    <font>
      <b/>
      <sz val="12"/>
      <color rgb="FFFF0000"/>
      <name val="Arial"/>
      <family val="2"/>
    </font>
    <font>
      <b/>
      <sz val="8"/>
      <name val="Arial"/>
      <family val="2"/>
    </font>
    <font>
      <vertAlign val="superscript"/>
      <sz val="8"/>
      <name val="Arial"/>
      <family val="2"/>
    </font>
    <font>
      <b/>
      <sz val="6"/>
      <name val="Arial"/>
      <family val="2"/>
    </font>
    <font>
      <sz val="6"/>
      <name val="Arial"/>
      <family val="2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20"/>
      <color theme="0"/>
      <name val="Calibri Light"/>
      <family val="2"/>
    </font>
    <font>
      <sz val="11"/>
      <color theme="0"/>
      <name val="Calibri Light"/>
      <family val="2"/>
    </font>
    <font>
      <sz val="11"/>
      <color theme="1"/>
      <name val="Calibri Light"/>
      <family val="2"/>
    </font>
    <font>
      <b/>
      <u/>
      <sz val="20"/>
      <color theme="1"/>
      <name val="Calibri Light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>
      <alignment vertical="top"/>
    </xf>
    <xf numFmtId="0" fontId="3" fillId="0" borderId="0">
      <alignment vertical="top"/>
    </xf>
    <xf numFmtId="0" fontId="8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35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164" fontId="2" fillId="0" borderId="0" xfId="0" applyNumberFormat="1" applyFont="1" applyAlignment="1">
      <alignment horizontal="left"/>
    </xf>
    <xf numFmtId="1" fontId="2" fillId="0" borderId="0" xfId="0" applyNumberFormat="1" applyFont="1" applyAlignment="1">
      <alignment horizontal="center"/>
    </xf>
    <xf numFmtId="0" fontId="9" fillId="3" borderId="0" xfId="3" applyFont="1" applyFill="1" applyBorder="1" applyAlignment="1">
      <alignment vertical="center"/>
    </xf>
    <xf numFmtId="0" fontId="8" fillId="3" borderId="0" xfId="3" applyFill="1"/>
    <xf numFmtId="0" fontId="10" fillId="3" borderId="3" xfId="3" applyFont="1" applyFill="1" applyBorder="1"/>
    <xf numFmtId="0" fontId="9" fillId="3" borderId="0" xfId="3" applyFont="1" applyFill="1" applyBorder="1" applyAlignment="1">
      <alignment horizontal="center" vertical="center"/>
    </xf>
    <xf numFmtId="0" fontId="11" fillId="3" borderId="0" xfId="3" applyFont="1" applyFill="1"/>
    <xf numFmtId="0" fontId="7" fillId="2" borderId="0" xfId="3" applyFont="1" applyFill="1" applyAlignment="1">
      <alignment horizontal="right"/>
    </xf>
    <xf numFmtId="0" fontId="7" fillId="3" borderId="0" xfId="3" applyFont="1" applyFill="1" applyAlignment="1">
      <alignment horizontal="right"/>
    </xf>
    <xf numFmtId="0" fontId="8" fillId="3" borderId="0" xfId="3" applyFill="1" applyAlignment="1">
      <alignment wrapText="1"/>
    </xf>
    <xf numFmtId="0" fontId="8" fillId="3" borderId="0" xfId="3" applyFont="1" applyFill="1" applyAlignment="1">
      <alignment horizontal="right"/>
    </xf>
    <xf numFmtId="0" fontId="8" fillId="3" borderId="0" xfId="3" applyFill="1" applyAlignment="1">
      <alignment horizontal="right"/>
    </xf>
    <xf numFmtId="0" fontId="8" fillId="3" borderId="0" xfId="3" applyFont="1" applyFill="1"/>
    <xf numFmtId="0" fontId="8" fillId="3" borderId="1" xfId="3" applyFont="1" applyFill="1" applyBorder="1" applyAlignment="1">
      <alignment horizontal="center"/>
    </xf>
    <xf numFmtId="0" fontId="8" fillId="3" borderId="0" xfId="3" applyFont="1" applyFill="1" applyBorder="1" applyAlignment="1">
      <alignment horizontal="center"/>
    </xf>
    <xf numFmtId="0" fontId="8" fillId="3" borderId="0" xfId="3" applyFont="1" applyFill="1" applyBorder="1" applyAlignment="1">
      <alignment horizontal="right"/>
    </xf>
    <xf numFmtId="0" fontId="8" fillId="3" borderId="4" xfId="3" applyFont="1" applyFill="1" applyBorder="1" applyAlignment="1">
      <alignment horizontal="center"/>
    </xf>
    <xf numFmtId="0" fontId="8" fillId="3" borderId="1" xfId="3" applyFill="1" applyBorder="1" applyAlignment="1">
      <alignment horizontal="center"/>
    </xf>
    <xf numFmtId="0" fontId="10" fillId="3" borderId="0" xfId="3" applyFont="1" applyFill="1" applyAlignment="1">
      <alignment horizontal="right"/>
    </xf>
    <xf numFmtId="0" fontId="8" fillId="3" borderId="0" xfId="3" applyFill="1" applyBorder="1" applyAlignment="1">
      <alignment horizontal="center"/>
    </xf>
    <xf numFmtId="0" fontId="8" fillId="3" borderId="0" xfId="3" applyFill="1" applyAlignment="1"/>
    <xf numFmtId="0" fontId="8" fillId="0" borderId="0" xfId="3"/>
    <xf numFmtId="0" fontId="8" fillId="0" borderId="0" xfId="3" applyBorder="1"/>
    <xf numFmtId="0" fontId="8" fillId="0" borderId="0" xfId="3" applyBorder="1" applyAlignment="1">
      <alignment horizontal="center"/>
    </xf>
    <xf numFmtId="43" fontId="8" fillId="0" borderId="0" xfId="4"/>
    <xf numFmtId="44" fontId="8" fillId="0" borderId="0" xfId="5"/>
    <xf numFmtId="44" fontId="8" fillId="0" borderId="0" xfId="5" applyFont="1"/>
    <xf numFmtId="0" fontId="8" fillId="0" borderId="0" xfId="3" applyFill="1" applyBorder="1" applyAlignment="1">
      <alignment horizontal="center"/>
    </xf>
    <xf numFmtId="165" fontId="10" fillId="0" borderId="0" xfId="3" applyNumberFormat="1" applyFont="1" applyFill="1" applyBorder="1" applyAlignment="1">
      <alignment horizontal="center"/>
    </xf>
    <xf numFmtId="165" fontId="12" fillId="0" borderId="0" xfId="3" applyNumberFormat="1" applyFont="1" applyBorder="1"/>
    <xf numFmtId="1" fontId="10" fillId="2" borderId="5" xfId="4" applyNumberFormat="1" applyFont="1" applyFill="1" applyBorder="1" applyAlignment="1">
      <alignment horizontal="center"/>
    </xf>
    <xf numFmtId="44" fontId="10" fillId="0" borderId="6" xfId="5" applyFont="1" applyBorder="1"/>
    <xf numFmtId="44" fontId="10" fillId="0" borderId="7" xfId="5" applyFont="1" applyBorder="1"/>
    <xf numFmtId="0" fontId="12" fillId="0" borderId="0" xfId="3" applyFont="1" applyBorder="1"/>
    <xf numFmtId="0" fontId="13" fillId="0" borderId="0" xfId="3" applyFont="1" applyBorder="1" applyAlignment="1">
      <alignment horizontal="center"/>
    </xf>
    <xf numFmtId="1" fontId="12" fillId="0" borderId="0" xfId="3" applyNumberFormat="1" applyFont="1" applyBorder="1"/>
    <xf numFmtId="44" fontId="10" fillId="0" borderId="0" xfId="5" applyFont="1" applyBorder="1"/>
    <xf numFmtId="44" fontId="10" fillId="0" borderId="0" xfId="5" applyFont="1"/>
    <xf numFmtId="43" fontId="12" fillId="0" borderId="0" xfId="3" applyNumberFormat="1" applyFont="1" applyBorder="1"/>
    <xf numFmtId="44" fontId="10" fillId="0" borderId="9" xfId="5" applyFont="1" applyBorder="1"/>
    <xf numFmtId="44" fontId="10" fillId="0" borderId="10" xfId="5" applyFont="1" applyBorder="1"/>
    <xf numFmtId="43" fontId="10" fillId="0" borderId="11" xfId="4" applyFont="1" applyBorder="1"/>
    <xf numFmtId="44" fontId="10" fillId="0" borderId="11" xfId="5" applyFont="1" applyBorder="1"/>
    <xf numFmtId="44" fontId="10" fillId="0" borderId="12" xfId="5" applyFont="1" applyBorder="1"/>
    <xf numFmtId="17" fontId="8" fillId="0" borderId="13" xfId="4" applyNumberFormat="1" applyFont="1" applyBorder="1"/>
    <xf numFmtId="44" fontId="8" fillId="0" borderId="14" xfId="5" applyFont="1" applyBorder="1" applyAlignment="1">
      <alignment horizontal="center"/>
    </xf>
    <xf numFmtId="167" fontId="10" fillId="0" borderId="16" xfId="4" applyNumberFormat="1" applyFont="1" applyBorder="1" applyAlignment="1">
      <alignment horizontal="center"/>
    </xf>
    <xf numFmtId="43" fontId="10" fillId="0" borderId="17" xfId="4" quotePrefix="1" applyFont="1" applyBorder="1" applyAlignment="1">
      <alignment horizontal="center"/>
    </xf>
    <xf numFmtId="167" fontId="10" fillId="0" borderId="18" xfId="4" applyNumberFormat="1" applyFont="1" applyBorder="1" applyAlignment="1">
      <alignment horizontal="center"/>
    </xf>
    <xf numFmtId="167" fontId="10" fillId="0" borderId="19" xfId="5" applyNumberFormat="1" applyFont="1" applyBorder="1" applyAlignment="1">
      <alignment horizontal="center"/>
    </xf>
    <xf numFmtId="167" fontId="10" fillId="0" borderId="20" xfId="5" applyNumberFormat="1" applyFont="1" applyBorder="1" applyAlignment="1">
      <alignment horizontal="center"/>
    </xf>
    <xf numFmtId="43" fontId="15" fillId="0" borderId="5" xfId="4" applyFont="1" applyBorder="1" applyAlignment="1">
      <alignment horizontal="center"/>
    </xf>
    <xf numFmtId="43" fontId="15" fillId="0" borderId="2" xfId="4" applyFont="1" applyBorder="1" applyAlignment="1">
      <alignment horizontal="center"/>
    </xf>
    <xf numFmtId="43" fontId="15" fillId="0" borderId="21" xfId="4" applyFont="1" applyBorder="1" applyAlignment="1">
      <alignment horizontal="center"/>
    </xf>
    <xf numFmtId="43" fontId="15" fillId="0" borderId="22" xfId="4" applyFont="1" applyBorder="1" applyAlignment="1"/>
    <xf numFmtId="43" fontId="15" fillId="0" borderId="22" xfId="4" applyFont="1" applyBorder="1" applyAlignment="1">
      <alignment horizontal="center"/>
    </xf>
    <xf numFmtId="2" fontId="8" fillId="0" borderId="0" xfId="3" applyNumberFormat="1" applyBorder="1"/>
    <xf numFmtId="43" fontId="8" fillId="0" borderId="0" xfId="4" applyBorder="1"/>
    <xf numFmtId="165" fontId="8" fillId="0" borderId="0" xfId="4" applyNumberFormat="1" applyBorder="1"/>
    <xf numFmtId="17" fontId="8" fillId="0" borderId="0" xfId="4" applyNumberFormat="1" applyFont="1" applyBorder="1"/>
    <xf numFmtId="17" fontId="8" fillId="0" borderId="24" xfId="4" applyNumberFormat="1" applyFont="1" applyBorder="1"/>
    <xf numFmtId="44" fontId="8" fillId="0" borderId="14" xfId="5" applyBorder="1"/>
    <xf numFmtId="43" fontId="8" fillId="0" borderId="14" xfId="4" applyBorder="1"/>
    <xf numFmtId="0" fontId="8" fillId="0" borderId="0" xfId="3" applyFont="1" applyBorder="1"/>
    <xf numFmtId="17" fontId="8" fillId="0" borderId="0" xfId="3" applyNumberFormat="1" applyFont="1" applyBorder="1"/>
    <xf numFmtId="0" fontId="8" fillId="0" borderId="0" xfId="3" applyFont="1"/>
    <xf numFmtId="17" fontId="8" fillId="0" borderId="0" xfId="3" applyNumberFormat="1" applyBorder="1" applyAlignment="1">
      <alignment horizontal="center"/>
    </xf>
    <xf numFmtId="43" fontId="8" fillId="0" borderId="17" xfId="4" applyBorder="1"/>
    <xf numFmtId="0" fontId="16" fillId="0" borderId="0" xfId="3" applyFont="1" applyAlignment="1"/>
    <xf numFmtId="0" fontId="16" fillId="0" borderId="0" xfId="3" applyFont="1" applyBorder="1" applyAlignment="1"/>
    <xf numFmtId="0" fontId="16" fillId="0" borderId="0" xfId="3" applyFont="1" applyBorder="1" applyAlignment="1">
      <alignment horizontal="center"/>
    </xf>
    <xf numFmtId="0" fontId="16" fillId="0" borderId="2" xfId="3" applyFont="1" applyBorder="1" applyAlignment="1"/>
    <xf numFmtId="14" fontId="16" fillId="0" borderId="0" xfId="3" applyNumberFormat="1" applyFont="1" applyBorder="1" applyAlignment="1"/>
    <xf numFmtId="17" fontId="8" fillId="0" borderId="0" xfId="3" applyNumberFormat="1" applyBorder="1"/>
    <xf numFmtId="0" fontId="17" fillId="0" borderId="0" xfId="3" applyFont="1"/>
    <xf numFmtId="14" fontId="8" fillId="0" borderId="0" xfId="3" applyNumberFormat="1" applyBorder="1"/>
    <xf numFmtId="0" fontId="19" fillId="5" borderId="31" xfId="3" applyFont="1" applyFill="1" applyBorder="1"/>
    <xf numFmtId="0" fontId="8" fillId="5" borderId="32" xfId="3" applyFill="1" applyBorder="1"/>
    <xf numFmtId="0" fontId="8" fillId="5" borderId="33" xfId="3" applyFill="1" applyBorder="1"/>
    <xf numFmtId="0" fontId="20" fillId="0" borderId="36" xfId="3" applyFont="1" applyBorder="1" applyAlignment="1">
      <alignment horizontal="left" vertical="top"/>
    </xf>
    <xf numFmtId="0" fontId="20" fillId="0" borderId="35" xfId="3" applyFont="1" applyBorder="1" applyAlignment="1">
      <alignment horizontal="left" vertical="top"/>
    </xf>
    <xf numFmtId="0" fontId="20" fillId="0" borderId="0" xfId="3" applyFont="1" applyBorder="1" applyAlignment="1">
      <alignment vertical="top"/>
    </xf>
    <xf numFmtId="0" fontId="8" fillId="0" borderId="0" xfId="3" applyBorder="1" applyAlignment="1">
      <alignment vertical="top"/>
    </xf>
    <xf numFmtId="0" fontId="8" fillId="0" borderId="37" xfId="3" applyBorder="1" applyAlignment="1">
      <alignment vertical="top"/>
    </xf>
    <xf numFmtId="0" fontId="20" fillId="0" borderId="0" xfId="3" applyFont="1" applyBorder="1" applyAlignment="1">
      <alignment horizontal="left" vertical="top"/>
    </xf>
    <xf numFmtId="0" fontId="8" fillId="0" borderId="43" xfId="3" applyBorder="1"/>
    <xf numFmtId="0" fontId="22" fillId="0" borderId="44" xfId="3" applyFont="1" applyBorder="1" applyAlignment="1">
      <alignment horizontal="center" vertical="top"/>
    </xf>
    <xf numFmtId="0" fontId="22" fillId="0" borderId="49" xfId="3" applyFont="1" applyBorder="1" applyAlignment="1">
      <alignment horizontal="center"/>
    </xf>
    <xf numFmtId="0" fontId="16" fillId="0" borderId="50" xfId="3" applyFont="1" applyBorder="1" applyAlignment="1">
      <alignment horizontal="right"/>
    </xf>
    <xf numFmtId="170" fontId="8" fillId="0" borderId="1" xfId="3" applyNumberFormat="1" applyBorder="1" applyAlignment="1">
      <alignment horizontal="left"/>
    </xf>
    <xf numFmtId="2" fontId="8" fillId="0" borderId="3" xfId="3" applyNumberFormat="1" applyBorder="1"/>
    <xf numFmtId="0" fontId="22" fillId="0" borderId="60" xfId="3" applyFont="1" applyBorder="1" applyAlignment="1">
      <alignment horizontal="center" vertical="center"/>
    </xf>
    <xf numFmtId="0" fontId="16" fillId="0" borderId="14" xfId="3" applyFont="1" applyBorder="1"/>
    <xf numFmtId="2" fontId="8" fillId="0" borderId="52" xfId="3" applyNumberFormat="1" applyBorder="1"/>
    <xf numFmtId="2" fontId="8" fillId="0" borderId="11" xfId="3" applyNumberFormat="1" applyBorder="1"/>
    <xf numFmtId="0" fontId="20" fillId="0" borderId="43" xfId="3" applyFont="1" applyBorder="1" applyAlignment="1">
      <alignment horizontal="left" vertical="top"/>
    </xf>
    <xf numFmtId="0" fontId="20" fillId="0" borderId="64" xfId="3" applyFont="1" applyBorder="1" applyAlignment="1">
      <alignment horizontal="left" vertical="top"/>
    </xf>
    <xf numFmtId="0" fontId="8" fillId="0" borderId="65" xfId="3" applyBorder="1" applyAlignment="1">
      <alignment horizontal="left"/>
    </xf>
    <xf numFmtId="0" fontId="8" fillId="0" borderId="68" xfId="3" applyFont="1" applyBorder="1" applyAlignment="1">
      <alignment horizontal="center"/>
    </xf>
    <xf numFmtId="0" fontId="8" fillId="0" borderId="69" xfId="3" applyBorder="1"/>
    <xf numFmtId="0" fontId="20" fillId="0" borderId="39" xfId="3" applyFont="1" applyBorder="1" applyAlignment="1">
      <alignment vertical="top"/>
    </xf>
    <xf numFmtId="0" fontId="8" fillId="0" borderId="3" xfId="3" applyBorder="1"/>
    <xf numFmtId="0" fontId="8" fillId="0" borderId="40" xfId="3" applyBorder="1"/>
    <xf numFmtId="0" fontId="8" fillId="0" borderId="28" xfId="3" applyBorder="1"/>
    <xf numFmtId="0" fontId="10" fillId="0" borderId="0" xfId="3" applyFont="1" applyBorder="1"/>
    <xf numFmtId="0" fontId="19" fillId="6" borderId="31" xfId="3" applyFont="1" applyFill="1" applyBorder="1"/>
    <xf numFmtId="0" fontId="8" fillId="6" borderId="32" xfId="3" applyFill="1" applyBorder="1"/>
    <xf numFmtId="0" fontId="8" fillId="6" borderId="33" xfId="3" applyFill="1" applyBorder="1"/>
    <xf numFmtId="0" fontId="16" fillId="0" borderId="50" xfId="3" applyFont="1" applyBorder="1"/>
    <xf numFmtId="0" fontId="8" fillId="0" borderId="68" xfId="3" applyBorder="1" applyAlignment="1">
      <alignment horizontal="center"/>
    </xf>
    <xf numFmtId="0" fontId="8" fillId="0" borderId="31" xfId="3" applyBorder="1" applyAlignment="1">
      <alignment horizontal="left"/>
    </xf>
    <xf numFmtId="14" fontId="10" fillId="0" borderId="0" xfId="3" applyNumberFormat="1" applyFont="1"/>
    <xf numFmtId="0" fontId="8" fillId="7" borderId="52" xfId="3" applyFill="1" applyBorder="1"/>
    <xf numFmtId="0" fontId="8" fillId="0" borderId="52" xfId="3" applyBorder="1"/>
    <xf numFmtId="43" fontId="8" fillId="0" borderId="52" xfId="4" applyFont="1" applyFill="1" applyBorder="1"/>
    <xf numFmtId="0" fontId="8" fillId="7" borderId="0" xfId="3" applyFill="1"/>
    <xf numFmtId="43" fontId="8" fillId="0" borderId="0" xfId="4" applyFont="1" applyFill="1"/>
    <xf numFmtId="0" fontId="8" fillId="5" borderId="0" xfId="3" applyFill="1"/>
    <xf numFmtId="0" fontId="8" fillId="5" borderId="52" xfId="3" applyFill="1" applyBorder="1"/>
    <xf numFmtId="0" fontId="8" fillId="6" borderId="0" xfId="3" applyFill="1"/>
    <xf numFmtId="0" fontId="8" fillId="6" borderId="52" xfId="3" applyFill="1" applyBorder="1"/>
    <xf numFmtId="0" fontId="8" fillId="6" borderId="0" xfId="3" quotePrefix="1" applyFill="1" applyAlignment="1">
      <alignment horizontal="left"/>
    </xf>
    <xf numFmtId="0" fontId="8" fillId="0" borderId="0" xfId="3" applyAlignment="1">
      <alignment horizontal="left"/>
    </xf>
    <xf numFmtId="0" fontId="8" fillId="6" borderId="3" xfId="3" applyFill="1" applyBorder="1"/>
    <xf numFmtId="43" fontId="8" fillId="0" borderId="3" xfId="4" applyFont="1" applyFill="1" applyBorder="1"/>
    <xf numFmtId="0" fontId="8" fillId="0" borderId="52" xfId="3" quotePrefix="1" applyBorder="1" applyAlignment="1">
      <alignment horizontal="left"/>
    </xf>
    <xf numFmtId="172" fontId="8" fillId="0" borderId="52" xfId="4" applyNumberFormat="1" applyFont="1" applyFill="1" applyBorder="1"/>
    <xf numFmtId="172" fontId="8" fillId="0" borderId="0" xfId="4" applyNumberFormat="1" applyFont="1" applyFill="1"/>
    <xf numFmtId="0" fontId="8" fillId="8" borderId="52" xfId="3" applyFill="1" applyBorder="1"/>
    <xf numFmtId="0" fontId="8" fillId="8" borderId="0" xfId="3" quotePrefix="1" applyFill="1" applyAlignment="1">
      <alignment horizontal="left"/>
    </xf>
    <xf numFmtId="0" fontId="8" fillId="0" borderId="0" xfId="3" quotePrefix="1" applyAlignment="1">
      <alignment horizontal="left"/>
    </xf>
    <xf numFmtId="0" fontId="8" fillId="8" borderId="28" xfId="3" applyFill="1" applyBorder="1"/>
    <xf numFmtId="0" fontId="3" fillId="9" borderId="3" xfId="1" applyFill="1" applyBorder="1" applyAlignment="1"/>
    <xf numFmtId="43" fontId="8" fillId="0" borderId="52" xfId="4" applyNumberFormat="1" applyFont="1" applyFill="1" applyBorder="1"/>
    <xf numFmtId="0" fontId="3" fillId="9" borderId="52" xfId="1" applyFill="1" applyBorder="1" applyAlignment="1"/>
    <xf numFmtId="0" fontId="3" fillId="9" borderId="28" xfId="1" applyFill="1" applyBorder="1" applyAlignment="1"/>
    <xf numFmtId="0" fontId="8" fillId="10" borderId="52" xfId="3" applyFill="1" applyBorder="1"/>
    <xf numFmtId="0" fontId="8" fillId="11" borderId="52" xfId="3" applyFill="1" applyBorder="1"/>
    <xf numFmtId="43" fontId="8" fillId="0" borderId="52" xfId="4" applyFont="1" applyBorder="1"/>
    <xf numFmtId="0" fontId="8" fillId="7" borderId="0" xfId="3" quotePrefix="1" applyFill="1" applyBorder="1" applyAlignment="1">
      <alignment horizontal="left"/>
    </xf>
    <xf numFmtId="43" fontId="8" fillId="0" borderId="0" xfId="4" applyFont="1" applyBorder="1"/>
    <xf numFmtId="0" fontId="8" fillId="7" borderId="52" xfId="3" quotePrefix="1" applyFill="1" applyBorder="1" applyAlignment="1">
      <alignment horizontal="left"/>
    </xf>
    <xf numFmtId="0" fontId="8" fillId="7" borderId="0" xfId="3" applyFill="1" applyBorder="1"/>
    <xf numFmtId="43" fontId="8" fillId="0" borderId="0" xfId="4" applyFont="1" applyFill="1" applyBorder="1"/>
    <xf numFmtId="0" fontId="8" fillId="5" borderId="0" xfId="3" applyFill="1" applyBorder="1"/>
    <xf numFmtId="0" fontId="8" fillId="8" borderId="0" xfId="3" applyFill="1" applyBorder="1"/>
    <xf numFmtId="0" fontId="8" fillId="8" borderId="0" xfId="3" quotePrefix="1" applyFill="1" applyBorder="1" applyAlignment="1">
      <alignment horizontal="left"/>
    </xf>
    <xf numFmtId="0" fontId="8" fillId="0" borderId="0" xfId="3" applyBorder="1" applyAlignment="1">
      <alignment horizontal="left"/>
    </xf>
    <xf numFmtId="0" fontId="8" fillId="8" borderId="52" xfId="3" quotePrefix="1" applyFill="1" applyBorder="1" applyAlignment="1">
      <alignment horizontal="left"/>
    </xf>
    <xf numFmtId="0" fontId="8" fillId="0" borderId="52" xfId="3" applyBorder="1" applyAlignment="1">
      <alignment horizontal="left"/>
    </xf>
    <xf numFmtId="43" fontId="8" fillId="0" borderId="52" xfId="4" applyNumberFormat="1" applyFont="1" applyBorder="1"/>
    <xf numFmtId="0" fontId="8" fillId="0" borderId="0" xfId="3" quotePrefix="1" applyBorder="1" applyAlignment="1">
      <alignment horizontal="left"/>
    </xf>
    <xf numFmtId="172" fontId="8" fillId="0" borderId="52" xfId="4" applyNumberFormat="1" applyFont="1" applyBorder="1"/>
    <xf numFmtId="172" fontId="8" fillId="0" borderId="0" xfId="4" applyNumberFormat="1" applyFont="1" applyBorder="1"/>
    <xf numFmtId="0" fontId="8" fillId="8" borderId="3" xfId="3" applyFill="1" applyBorder="1"/>
    <xf numFmtId="43" fontId="8" fillId="0" borderId="3" xfId="4" applyFont="1" applyBorder="1"/>
    <xf numFmtId="0" fontId="0" fillId="0" borderId="0" xfId="0" applyFill="1"/>
    <xf numFmtId="0" fontId="0" fillId="12" borderId="0" xfId="0" applyFill="1"/>
    <xf numFmtId="0" fontId="0" fillId="3" borderId="72" xfId="0" applyFill="1" applyBorder="1"/>
    <xf numFmtId="0" fontId="0" fillId="3" borderId="14" xfId="0" applyFill="1" applyBorder="1"/>
    <xf numFmtId="0" fontId="0" fillId="3" borderId="10" xfId="0" applyFill="1" applyBorder="1"/>
    <xf numFmtId="0" fontId="25" fillId="12" borderId="0" xfId="0" applyFont="1" applyFill="1" applyAlignment="1">
      <alignment horizontal="center"/>
    </xf>
    <xf numFmtId="0" fontId="25" fillId="12" borderId="0" xfId="0" applyFont="1" applyFill="1"/>
    <xf numFmtId="0" fontId="0" fillId="12" borderId="26" xfId="0" applyFill="1" applyBorder="1"/>
    <xf numFmtId="0" fontId="0" fillId="0" borderId="26" xfId="0" applyFill="1" applyBorder="1"/>
    <xf numFmtId="0" fontId="24" fillId="13" borderId="0" xfId="0" applyFont="1" applyFill="1"/>
    <xf numFmtId="44" fontId="14" fillId="0" borderId="23" xfId="5" applyFont="1" applyBorder="1" applyAlignment="1">
      <alignment horizontal="center"/>
    </xf>
    <xf numFmtId="44" fontId="14" fillId="0" borderId="21" xfId="5" applyFont="1" applyBorder="1" applyAlignment="1">
      <alignment horizontal="center"/>
    </xf>
    <xf numFmtId="1" fontId="8" fillId="0" borderId="41" xfId="4" applyNumberFormat="1" applyBorder="1" applyAlignment="1">
      <alignment horizontal="center"/>
    </xf>
    <xf numFmtId="17" fontId="8" fillId="0" borderId="1" xfId="5" applyNumberFormat="1" applyBorder="1"/>
    <xf numFmtId="0" fontId="2" fillId="14" borderId="0" xfId="0" applyFont="1" applyFill="1"/>
    <xf numFmtId="17" fontId="2" fillId="0" borderId="0" xfId="0" applyNumberFormat="1" applyFont="1"/>
    <xf numFmtId="0" fontId="8" fillId="0" borderId="1" xfId="5" applyNumberFormat="1" applyBorder="1"/>
    <xf numFmtId="0" fontId="8" fillId="0" borderId="52" xfId="3" applyBorder="1" applyAlignment="1">
      <alignment horizontal="left"/>
    </xf>
    <xf numFmtId="0" fontId="8" fillId="0" borderId="0" xfId="3" applyBorder="1" applyAlignment="1">
      <alignment horizontal="left"/>
    </xf>
    <xf numFmtId="0" fontId="0" fillId="0" borderId="73" xfId="0" applyFill="1" applyBorder="1"/>
    <xf numFmtId="0" fontId="0" fillId="0" borderId="74" xfId="0" applyFill="1" applyBorder="1"/>
    <xf numFmtId="0" fontId="0" fillId="0" borderId="73" xfId="0" applyNumberFormat="1" applyFill="1" applyBorder="1"/>
    <xf numFmtId="0" fontId="0" fillId="0" borderId="74" xfId="0" applyNumberFormat="1" applyFill="1" applyBorder="1"/>
    <xf numFmtId="14" fontId="0" fillId="0" borderId="73" xfId="0" applyNumberFormat="1" applyFill="1" applyBorder="1"/>
    <xf numFmtId="14" fontId="0" fillId="0" borderId="74" xfId="0" applyNumberFormat="1" applyFill="1" applyBorder="1"/>
    <xf numFmtId="0" fontId="0" fillId="0" borderId="1" xfId="0" applyBorder="1"/>
    <xf numFmtId="173" fontId="0" fillId="0" borderId="1" xfId="0" applyNumberFormat="1" applyBorder="1"/>
    <xf numFmtId="174" fontId="0" fillId="0" borderId="1" xfId="0" applyNumberFormat="1" applyBorder="1"/>
    <xf numFmtId="14" fontId="0" fillId="0" borderId="0" xfId="0" applyNumberFormat="1"/>
    <xf numFmtId="7" fontId="0" fillId="0" borderId="0" xfId="0" applyNumberFormat="1"/>
    <xf numFmtId="0" fontId="0" fillId="2" borderId="0" xfId="0" applyFill="1"/>
    <xf numFmtId="43" fontId="15" fillId="0" borderId="21" xfId="4" applyFont="1" applyBorder="1" applyAlignment="1"/>
    <xf numFmtId="1" fontId="8" fillId="0" borderId="0" xfId="3" applyNumberFormat="1" applyBorder="1" applyAlignment="1">
      <alignment horizontal="center"/>
    </xf>
    <xf numFmtId="0" fontId="8" fillId="0" borderId="0" xfId="3" applyNumberFormat="1" applyBorder="1"/>
    <xf numFmtId="43" fontId="12" fillId="0" borderId="0" xfId="3" applyNumberFormat="1" applyFont="1" applyBorder="1" applyAlignment="1"/>
    <xf numFmtId="43" fontId="15" fillId="0" borderId="20" xfId="4" applyFont="1" applyBorder="1" applyAlignment="1"/>
    <xf numFmtId="0" fontId="16" fillId="0" borderId="75" xfId="3" applyFont="1" applyBorder="1" applyAlignment="1"/>
    <xf numFmtId="0" fontId="8" fillId="0" borderId="20" xfId="3" applyBorder="1"/>
    <xf numFmtId="0" fontId="8" fillId="0" borderId="75" xfId="3" applyBorder="1"/>
    <xf numFmtId="0" fontId="0" fillId="16" borderId="0" xfId="0" applyFill="1"/>
    <xf numFmtId="0" fontId="7" fillId="16" borderId="0" xfId="0" applyFont="1" applyFill="1"/>
    <xf numFmtId="0" fontId="0" fillId="16" borderId="28" xfId="0" applyFill="1" applyBorder="1"/>
    <xf numFmtId="0" fontId="27" fillId="13" borderId="26" xfId="0" applyFont="1" applyFill="1" applyBorder="1"/>
    <xf numFmtId="0" fontId="28" fillId="0" borderId="0" xfId="0" applyFont="1" applyFill="1"/>
    <xf numFmtId="0" fontId="28" fillId="15" borderId="0" xfId="0" applyFont="1" applyFill="1"/>
    <xf numFmtId="0" fontId="28" fillId="17" borderId="0" xfId="0" applyFont="1" applyFill="1"/>
    <xf numFmtId="0" fontId="0" fillId="17" borderId="0" xfId="0" applyFill="1"/>
    <xf numFmtId="0" fontId="0" fillId="17" borderId="0" xfId="0" applyFill="1" applyBorder="1" applyAlignment="1">
      <alignment horizontal="right"/>
    </xf>
    <xf numFmtId="0" fontId="31" fillId="16" borderId="0" xfId="0" applyFont="1" applyFill="1"/>
    <xf numFmtId="0" fontId="24" fillId="16" borderId="0" xfId="0" applyFont="1" applyFill="1"/>
    <xf numFmtId="0" fontId="26" fillId="15" borderId="0" xfId="0" applyFont="1" applyFill="1" applyAlignment="1">
      <alignment horizontal="center"/>
    </xf>
    <xf numFmtId="0" fontId="0" fillId="3" borderId="76" xfId="0" applyFill="1" applyBorder="1" applyAlignment="1">
      <alignment horizontal="right"/>
    </xf>
    <xf numFmtId="0" fontId="0" fillId="3" borderId="17" xfId="0" applyFill="1" applyBorder="1" applyAlignment="1">
      <alignment horizontal="right"/>
    </xf>
    <xf numFmtId="0" fontId="0" fillId="3" borderId="77" xfId="0" applyFill="1" applyBorder="1" applyAlignment="1">
      <alignment horizontal="right"/>
    </xf>
    <xf numFmtId="44" fontId="0" fillId="3" borderId="76" xfId="0" applyNumberFormat="1" applyFill="1" applyBorder="1" applyAlignment="1">
      <alignment horizontal="right"/>
    </xf>
    <xf numFmtId="0" fontId="0" fillId="3" borderId="7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77" xfId="0" applyFill="1" applyBorder="1" applyAlignment="1">
      <alignment horizontal="center"/>
    </xf>
    <xf numFmtId="0" fontId="26" fillId="13" borderId="0" xfId="0" applyFont="1" applyFill="1" applyAlignment="1">
      <alignment horizontal="center"/>
    </xf>
    <xf numFmtId="0" fontId="29" fillId="15" borderId="0" xfId="0" applyFont="1" applyFill="1" applyAlignment="1">
      <alignment horizontal="center"/>
    </xf>
    <xf numFmtId="0" fontId="8" fillId="3" borderId="0" xfId="3" applyFont="1" applyFill="1" applyAlignment="1">
      <alignment horizontal="right"/>
    </xf>
    <xf numFmtId="14" fontId="8" fillId="3" borderId="0" xfId="3" applyNumberFormat="1" applyFont="1" applyFill="1" applyAlignment="1">
      <alignment horizontal="right"/>
    </xf>
    <xf numFmtId="0" fontId="8" fillId="3" borderId="0" xfId="3" applyFill="1" applyAlignment="1">
      <alignment horizontal="right"/>
    </xf>
    <xf numFmtId="0" fontId="9" fillId="3" borderId="0" xfId="3" applyFont="1" applyFill="1" applyAlignment="1">
      <alignment horizontal="center" vertical="center"/>
    </xf>
    <xf numFmtId="0" fontId="9" fillId="3" borderId="2" xfId="3" applyFont="1" applyFill="1" applyBorder="1" applyAlignment="1">
      <alignment horizontal="center" vertical="center"/>
    </xf>
    <xf numFmtId="0" fontId="10" fillId="4" borderId="0" xfId="3" applyFont="1" applyFill="1" applyAlignment="1">
      <alignment horizontal="center"/>
    </xf>
    <xf numFmtId="44" fontId="15" fillId="0" borderId="23" xfId="5" applyFont="1" applyBorder="1" applyAlignment="1">
      <alignment horizontal="center" wrapText="1"/>
    </xf>
    <xf numFmtId="44" fontId="15" fillId="0" borderId="7" xfId="5" applyFont="1" applyBorder="1" applyAlignment="1">
      <alignment horizontal="center" wrapText="1"/>
    </xf>
    <xf numFmtId="44" fontId="15" fillId="0" borderId="22" xfId="5" applyFont="1" applyBorder="1" applyAlignment="1">
      <alignment horizontal="center" wrapText="1"/>
    </xf>
    <xf numFmtId="44" fontId="15" fillId="0" borderId="2" xfId="5" applyFont="1" applyBorder="1" applyAlignment="1">
      <alignment horizontal="center" wrapText="1"/>
    </xf>
    <xf numFmtId="0" fontId="18" fillId="0" borderId="0" xfId="3" applyFont="1" applyAlignment="1">
      <alignment horizontal="center"/>
    </xf>
    <xf numFmtId="44" fontId="15" fillId="0" borderId="6" xfId="5" applyFont="1" applyBorder="1" applyAlignment="1">
      <alignment horizontal="center" wrapText="1"/>
    </xf>
    <xf numFmtId="0" fontId="17" fillId="2" borderId="2" xfId="3" applyFont="1" applyFill="1" applyBorder="1" applyAlignment="1">
      <alignment horizontal="center"/>
    </xf>
    <xf numFmtId="166" fontId="17" fillId="2" borderId="2" xfId="3" applyNumberFormat="1" applyFont="1" applyFill="1" applyBorder="1" applyAlignment="1">
      <alignment horizontal="center"/>
    </xf>
    <xf numFmtId="2" fontId="8" fillId="0" borderId="22" xfId="3" applyNumberFormat="1" applyBorder="1" applyAlignment="1">
      <alignment horizontal="right"/>
    </xf>
    <xf numFmtId="2" fontId="8" fillId="0" borderId="32" xfId="3" applyNumberFormat="1" applyBorder="1" applyAlignment="1">
      <alignment horizontal="right"/>
    </xf>
    <xf numFmtId="171" fontId="8" fillId="0" borderId="4" xfId="3" applyNumberFormat="1" applyBorder="1" applyAlignment="1" applyProtection="1">
      <alignment horizontal="right"/>
    </xf>
    <xf numFmtId="171" fontId="8" fillId="0" borderId="15" xfId="3" applyNumberFormat="1" applyBorder="1" applyAlignment="1" applyProtection="1">
      <alignment horizontal="right"/>
    </xf>
    <xf numFmtId="0" fontId="8" fillId="0" borderId="31" xfId="3" applyBorder="1" applyAlignment="1">
      <alignment horizontal="left"/>
    </xf>
    <xf numFmtId="0" fontId="8" fillId="0" borderId="59" xfId="3" applyBorder="1" applyAlignment="1">
      <alignment horizontal="left"/>
    </xf>
    <xf numFmtId="0" fontId="8" fillId="0" borderId="61" xfId="3" applyBorder="1" applyAlignment="1">
      <alignment horizontal="left"/>
    </xf>
    <xf numFmtId="0" fontId="8" fillId="0" borderId="52" xfId="3" applyBorder="1" applyAlignment="1">
      <alignment horizontal="left"/>
    </xf>
    <xf numFmtId="0" fontId="8" fillId="0" borderId="28" xfId="3" applyBorder="1" applyAlignment="1">
      <alignment horizontal="left"/>
    </xf>
    <xf numFmtId="0" fontId="8" fillId="0" borderId="63" xfId="3" applyBorder="1" applyAlignment="1">
      <alignment horizontal="left"/>
    </xf>
    <xf numFmtId="169" fontId="8" fillId="0" borderId="57" xfId="3" applyNumberFormat="1" applyBorder="1" applyAlignment="1" applyProtection="1">
      <alignment horizontal="right"/>
    </xf>
    <xf numFmtId="169" fontId="8" fillId="0" borderId="28" xfId="3" applyNumberFormat="1" applyBorder="1" applyAlignment="1" applyProtection="1">
      <alignment horizontal="right"/>
    </xf>
    <xf numFmtId="169" fontId="8" fillId="0" borderId="29" xfId="3" applyNumberFormat="1" applyBorder="1" applyAlignment="1" applyProtection="1">
      <alignment horizontal="right"/>
    </xf>
    <xf numFmtId="0" fontId="8" fillId="0" borderId="27" xfId="3" applyFont="1" applyBorder="1" applyAlignment="1">
      <alignment horizontal="left"/>
    </xf>
    <xf numFmtId="0" fontId="8" fillId="0" borderId="32" xfId="3" applyBorder="1" applyAlignment="1">
      <alignment horizontal="left"/>
    </xf>
    <xf numFmtId="0" fontId="19" fillId="0" borderId="66" xfId="3" applyFont="1" applyBorder="1" applyAlignment="1">
      <alignment horizontal="center" vertical="center"/>
    </xf>
    <xf numFmtId="0" fontId="19" fillId="0" borderId="67" xfId="3" applyFont="1" applyBorder="1" applyAlignment="1">
      <alignment horizontal="center" vertical="center"/>
    </xf>
    <xf numFmtId="0" fontId="19" fillId="0" borderId="70" xfId="3" applyFont="1" applyBorder="1" applyAlignment="1">
      <alignment horizontal="center" vertical="center"/>
    </xf>
    <xf numFmtId="0" fontId="19" fillId="0" borderId="71" xfId="3" applyFont="1" applyBorder="1" applyAlignment="1">
      <alignment horizontal="center" vertical="center"/>
    </xf>
    <xf numFmtId="169" fontId="8" fillId="0" borderId="42" xfId="3" applyNumberFormat="1" applyBorder="1" applyAlignment="1" applyProtection="1">
      <alignment horizontal="right"/>
    </xf>
    <xf numFmtId="169" fontId="8" fillId="0" borderId="32" xfId="3" applyNumberFormat="1" applyBorder="1" applyAlignment="1" applyProtection="1">
      <alignment horizontal="right"/>
    </xf>
    <xf numFmtId="169" fontId="8" fillId="0" borderId="33" xfId="3" applyNumberFormat="1" applyBorder="1" applyAlignment="1" applyProtection="1">
      <alignment horizontal="right"/>
    </xf>
    <xf numFmtId="170" fontId="8" fillId="0" borderId="4" xfId="3" applyNumberFormat="1" applyBorder="1" applyAlignment="1">
      <alignment horizontal="left"/>
    </xf>
    <xf numFmtId="170" fontId="8" fillId="0" borderId="69" xfId="3" applyNumberFormat="1" applyBorder="1" applyAlignment="1">
      <alignment horizontal="left"/>
    </xf>
    <xf numFmtId="0" fontId="8" fillId="0" borderId="39" xfId="3" applyFont="1" applyBorder="1" applyAlignment="1">
      <alignment horizontal="left"/>
    </xf>
    <xf numFmtId="0" fontId="8" fillId="0" borderId="3" xfId="3" applyFont="1" applyBorder="1" applyAlignment="1">
      <alignment horizontal="left"/>
    </xf>
    <xf numFmtId="0" fontId="8" fillId="0" borderId="54" xfId="3" applyFont="1" applyBorder="1" applyAlignment="1">
      <alignment horizontal="left"/>
    </xf>
    <xf numFmtId="0" fontId="8" fillId="0" borderId="61" xfId="3" applyFont="1" applyBorder="1" applyAlignment="1">
      <alignment horizontal="left"/>
    </xf>
    <xf numFmtId="0" fontId="8" fillId="0" borderId="62" xfId="3" applyBorder="1" applyAlignment="1">
      <alignment horizontal="left"/>
    </xf>
    <xf numFmtId="8" fontId="8" fillId="0" borderId="61" xfId="3" applyNumberFormat="1" applyFont="1" applyBorder="1" applyAlignment="1">
      <alignment horizontal="left"/>
    </xf>
    <xf numFmtId="0" fontId="8" fillId="0" borderId="52" xfId="3" applyFont="1" applyBorder="1" applyAlignment="1">
      <alignment horizontal="left"/>
    </xf>
    <xf numFmtId="0" fontId="8" fillId="0" borderId="62" xfId="3" applyFont="1" applyBorder="1" applyAlignment="1">
      <alignment horizontal="left"/>
    </xf>
    <xf numFmtId="2" fontId="8" fillId="0" borderId="28" xfId="3" applyNumberFormat="1" applyBorder="1" applyAlignment="1">
      <alignment horizontal="right"/>
    </xf>
    <xf numFmtId="2" fontId="8" fillId="0" borderId="3" xfId="3" applyNumberFormat="1" applyBorder="1" applyAlignment="1">
      <alignment horizontal="right"/>
    </xf>
    <xf numFmtId="0" fontId="20" fillId="0" borderId="30" xfId="3" applyFont="1" applyBorder="1" applyAlignment="1">
      <alignment horizontal="left" vertical="top"/>
    </xf>
    <xf numFmtId="0" fontId="20" fillId="0" borderId="0" xfId="3" applyFont="1" applyBorder="1" applyAlignment="1">
      <alignment horizontal="left" vertical="top"/>
    </xf>
    <xf numFmtId="0" fontId="22" fillId="0" borderId="55" xfId="3" applyFont="1" applyBorder="1" applyAlignment="1">
      <alignment horizontal="center" vertical="center"/>
    </xf>
    <xf numFmtId="0" fontId="22" fillId="0" borderId="49" xfId="3" applyFont="1" applyBorder="1" applyAlignment="1">
      <alignment horizontal="center" vertical="center"/>
    </xf>
    <xf numFmtId="0" fontId="16" fillId="0" borderId="56" xfId="3" quotePrefix="1" applyFont="1" applyBorder="1" applyAlignment="1">
      <alignment horizontal="right"/>
    </xf>
    <xf numFmtId="0" fontId="16" fillId="0" borderId="50" xfId="3" applyFont="1" applyBorder="1" applyAlignment="1">
      <alignment horizontal="right"/>
    </xf>
    <xf numFmtId="169" fontId="8" fillId="0" borderId="58" xfId="3" applyNumberFormat="1" applyBorder="1" applyAlignment="1" applyProtection="1">
      <alignment horizontal="right"/>
    </xf>
    <xf numFmtId="169" fontId="8" fillId="0" borderId="3" xfId="3" applyNumberFormat="1" applyBorder="1" applyAlignment="1" applyProtection="1">
      <alignment horizontal="right"/>
    </xf>
    <xf numFmtId="169" fontId="8" fillId="0" borderId="40" xfId="3" applyNumberFormat="1" applyBorder="1" applyAlignment="1" applyProtection="1">
      <alignment horizontal="right"/>
    </xf>
    <xf numFmtId="170" fontId="8" fillId="0" borderId="15" xfId="3" applyNumberFormat="1" applyBorder="1" applyAlignment="1">
      <alignment horizontal="left"/>
    </xf>
    <xf numFmtId="0" fontId="20" fillId="0" borderId="34" xfId="3" applyFont="1" applyBorder="1" applyAlignment="1">
      <alignment horizontal="left" vertical="top"/>
    </xf>
    <xf numFmtId="0" fontId="20" fillId="0" borderId="36" xfId="3" applyFont="1" applyBorder="1" applyAlignment="1">
      <alignment horizontal="left" vertical="top"/>
    </xf>
    <xf numFmtId="0" fontId="20" fillId="0" borderId="27" xfId="3" applyFont="1" applyBorder="1" applyAlignment="1">
      <alignment horizontal="left" vertical="top"/>
    </xf>
    <xf numFmtId="0" fontId="20" fillId="0" borderId="28" xfId="3" applyFont="1" applyBorder="1" applyAlignment="1">
      <alignment horizontal="left" vertical="top"/>
    </xf>
    <xf numFmtId="0" fontId="22" fillId="0" borderId="45" xfId="3" applyFont="1" applyBorder="1" applyAlignment="1">
      <alignment horizontal="center" vertical="top"/>
    </xf>
    <xf numFmtId="0" fontId="22" fillId="0" borderId="46" xfId="3" applyFont="1" applyBorder="1" applyAlignment="1">
      <alignment horizontal="center" vertical="top"/>
    </xf>
    <xf numFmtId="0" fontId="22" fillId="0" borderId="47" xfId="3" applyFont="1" applyBorder="1" applyAlignment="1">
      <alignment horizontal="center" vertical="top"/>
    </xf>
    <xf numFmtId="0" fontId="8" fillId="0" borderId="30" xfId="3" applyFont="1" applyBorder="1" applyAlignment="1"/>
    <xf numFmtId="0" fontId="8" fillId="0" borderId="0" xfId="3" applyFont="1" applyBorder="1" applyAlignment="1"/>
    <xf numFmtId="0" fontId="8" fillId="0" borderId="48" xfId="3" applyFont="1" applyBorder="1" applyAlignment="1"/>
    <xf numFmtId="0" fontId="8" fillId="0" borderId="39" xfId="3" applyFont="1" applyBorder="1" applyAlignment="1"/>
    <xf numFmtId="0" fontId="8" fillId="0" borderId="3" xfId="3" applyFont="1" applyBorder="1" applyAlignment="1"/>
    <xf numFmtId="0" fontId="8" fillId="0" borderId="54" xfId="3" applyFont="1" applyBorder="1" applyAlignment="1"/>
    <xf numFmtId="169" fontId="8" fillId="0" borderId="51" xfId="3" applyNumberFormat="1" applyBorder="1" applyAlignment="1" applyProtection="1">
      <alignment horizontal="right"/>
    </xf>
    <xf numFmtId="169" fontId="8" fillId="0" borderId="52" xfId="3" applyNumberFormat="1" applyBorder="1" applyAlignment="1" applyProtection="1">
      <alignment horizontal="right"/>
    </xf>
    <xf numFmtId="169" fontId="8" fillId="0" borderId="53" xfId="3" applyNumberFormat="1" applyBorder="1" applyAlignment="1" applyProtection="1">
      <alignment horizontal="right"/>
    </xf>
    <xf numFmtId="0" fontId="16" fillId="0" borderId="56" xfId="3" applyFont="1" applyBorder="1" applyAlignment="1">
      <alignment horizontal="right"/>
    </xf>
    <xf numFmtId="0" fontId="8" fillId="5" borderId="27" xfId="3" applyFill="1" applyBorder="1" applyAlignment="1">
      <alignment horizontal="center" vertical="center"/>
    </xf>
    <xf numFmtId="0" fontId="8" fillId="5" borderId="28" xfId="3" applyFill="1" applyBorder="1" applyAlignment="1">
      <alignment horizontal="center" vertical="center"/>
    </xf>
    <xf numFmtId="0" fontId="8" fillId="5" borderId="29" xfId="3" applyFill="1" applyBorder="1" applyAlignment="1">
      <alignment horizontal="center" vertical="center"/>
    </xf>
    <xf numFmtId="0" fontId="8" fillId="5" borderId="30" xfId="3" applyFill="1" applyBorder="1" applyAlignment="1">
      <alignment horizontal="center" vertical="center"/>
    </xf>
    <xf numFmtId="0" fontId="8" fillId="5" borderId="0" xfId="3" applyFill="1" applyBorder="1" applyAlignment="1">
      <alignment horizontal="center" vertical="center"/>
    </xf>
    <xf numFmtId="0" fontId="8" fillId="5" borderId="26" xfId="3" applyFill="1" applyBorder="1" applyAlignment="1">
      <alignment horizontal="center" vertical="center"/>
    </xf>
    <xf numFmtId="0" fontId="20" fillId="0" borderId="35" xfId="3" applyFont="1" applyBorder="1" applyAlignment="1">
      <alignment horizontal="left" vertical="top"/>
    </xf>
    <xf numFmtId="0" fontId="20" fillId="0" borderId="38" xfId="3" applyFont="1" applyBorder="1" applyAlignment="1">
      <alignment horizontal="left" vertical="top"/>
    </xf>
    <xf numFmtId="0" fontId="8" fillId="0" borderId="39" xfId="3" applyFill="1" applyBorder="1" applyAlignment="1">
      <alignment horizontal="left"/>
    </xf>
    <xf numFmtId="0" fontId="8" fillId="0" borderId="40" xfId="3" applyFill="1" applyBorder="1" applyAlignment="1">
      <alignment horizontal="left"/>
    </xf>
    <xf numFmtId="0" fontId="8" fillId="0" borderId="39" xfId="3" applyBorder="1" applyAlignment="1">
      <alignment horizontal="left"/>
    </xf>
    <xf numFmtId="0" fontId="8" fillId="0" borderId="3" xfId="3" applyBorder="1" applyAlignment="1">
      <alignment horizontal="left"/>
    </xf>
    <xf numFmtId="0" fontId="8" fillId="0" borderId="40" xfId="3" applyBorder="1" applyAlignment="1">
      <alignment horizontal="left"/>
    </xf>
    <xf numFmtId="14" fontId="8" fillId="0" borderId="39" xfId="3" applyNumberFormat="1" applyBorder="1" applyAlignment="1">
      <alignment horizontal="left"/>
    </xf>
    <xf numFmtId="0" fontId="8" fillId="0" borderId="41" xfId="3" applyBorder="1" applyAlignment="1">
      <alignment horizontal="left"/>
    </xf>
    <xf numFmtId="0" fontId="20" fillId="0" borderId="42" xfId="3" applyFont="1" applyBorder="1" applyAlignment="1">
      <alignment horizontal="left" vertical="top"/>
    </xf>
    <xf numFmtId="0" fontId="20" fillId="0" borderId="33" xfId="3" applyFont="1" applyBorder="1" applyAlignment="1">
      <alignment horizontal="left" vertical="top"/>
    </xf>
    <xf numFmtId="0" fontId="21" fillId="0" borderId="31" xfId="3" applyFont="1" applyBorder="1" applyAlignment="1">
      <alignment horizontal="left" vertical="center"/>
    </xf>
    <xf numFmtId="0" fontId="21" fillId="0" borderId="33" xfId="3" applyFont="1" applyBorder="1" applyAlignment="1">
      <alignment horizontal="left" vertical="center"/>
    </xf>
    <xf numFmtId="0" fontId="8" fillId="0" borderId="32" xfId="3" applyBorder="1" applyAlignment="1">
      <alignment horizontal="right"/>
    </xf>
    <xf numFmtId="0" fontId="8" fillId="0" borderId="27" xfId="3" applyBorder="1" applyAlignment="1">
      <alignment horizontal="center"/>
    </xf>
    <xf numFmtId="0" fontId="8" fillId="0" borderId="28" xfId="3" applyBorder="1" applyAlignment="1">
      <alignment horizontal="center"/>
    </xf>
    <xf numFmtId="0" fontId="8" fillId="0" borderId="63" xfId="3" applyBorder="1" applyAlignment="1">
      <alignment horizontal="center"/>
    </xf>
    <xf numFmtId="0" fontId="8" fillId="0" borderId="27" xfId="3" applyBorder="1" applyAlignment="1">
      <alignment horizontal="left"/>
    </xf>
    <xf numFmtId="2" fontId="8" fillId="0" borderId="0" xfId="3" applyNumberFormat="1" applyBorder="1" applyAlignment="1">
      <alignment horizontal="right"/>
    </xf>
    <xf numFmtId="0" fontId="8" fillId="0" borderId="3" xfId="3" applyBorder="1" applyAlignment="1">
      <alignment horizontal="right"/>
    </xf>
    <xf numFmtId="0" fontId="16" fillId="0" borderId="56" xfId="3" applyFont="1" applyBorder="1" applyAlignment="1">
      <alignment horizontal="left"/>
    </xf>
    <xf numFmtId="0" fontId="16" fillId="0" borderId="50" xfId="3" applyFont="1" applyBorder="1" applyAlignment="1">
      <alignment horizontal="left"/>
    </xf>
    <xf numFmtId="0" fontId="8" fillId="6" borderId="27" xfId="3" applyFill="1" applyBorder="1" applyAlignment="1">
      <alignment horizontal="center" vertical="center"/>
    </xf>
    <xf numFmtId="0" fontId="8" fillId="6" borderId="28" xfId="3" applyFill="1" applyBorder="1" applyAlignment="1">
      <alignment horizontal="center" vertical="center"/>
    </xf>
    <xf numFmtId="0" fontId="8" fillId="6" borderId="29" xfId="3" applyFill="1" applyBorder="1" applyAlignment="1">
      <alignment horizontal="center" vertical="center"/>
    </xf>
    <xf numFmtId="0" fontId="8" fillId="6" borderId="30" xfId="3" applyFill="1" applyBorder="1" applyAlignment="1">
      <alignment horizontal="center" vertical="center"/>
    </xf>
    <xf numFmtId="0" fontId="8" fillId="6" borderId="0" xfId="3" applyFill="1" applyBorder="1" applyAlignment="1">
      <alignment horizontal="center" vertical="center"/>
    </xf>
    <xf numFmtId="0" fontId="8" fillId="6" borderId="26" xfId="3" applyFill="1" applyBorder="1" applyAlignment="1">
      <alignment horizontal="center" vertical="center"/>
    </xf>
    <xf numFmtId="0" fontId="8" fillId="0" borderId="0" xfId="3" applyBorder="1" applyAlignment="1">
      <alignment horizontal="left"/>
    </xf>
    <xf numFmtId="0" fontId="8" fillId="0" borderId="8" xfId="3" applyBorder="1" applyAlignment="1">
      <alignment horizontal="left"/>
    </xf>
    <xf numFmtId="0" fontId="24" fillId="18" borderId="73" xfId="0" applyFont="1" applyFill="1" applyBorder="1"/>
    <xf numFmtId="17" fontId="8" fillId="0" borderId="78" xfId="5" applyNumberFormat="1" applyBorder="1"/>
    <xf numFmtId="17" fontId="8" fillId="0" borderId="25" xfId="5" applyNumberFormat="1" applyBorder="1"/>
    <xf numFmtId="17" fontId="8" fillId="0" borderId="13" xfId="5" applyNumberFormat="1" applyBorder="1"/>
  </cellXfs>
  <cellStyles count="6">
    <cellStyle name="Comma 3" xfId="4"/>
    <cellStyle name="Currency 2" xfId="5"/>
    <cellStyle name="Normal" xfId="0" builtinId="0"/>
    <cellStyle name="Normal 2" xfId="1"/>
    <cellStyle name="Normal 2 2" xfId="2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2" fmlaLink="'List Gen'!$C$3" fmlaRange="'List Gen'!$A$3:$A$7" noThreeD="1" sel="4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ist" dx="16" fmlaLink="'List Gen'!$F$1" fmlaRange="'List Gen'!$E$2:$E$200" noThreeD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47625</xdr:rowOff>
        </xdr:from>
        <xdr:to>
          <xdr:col>2</xdr:col>
          <xdr:colOff>990600</xdr:colOff>
          <xdr:row>1</xdr:row>
          <xdr:rowOff>266700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95250</xdr:rowOff>
        </xdr:from>
        <xdr:to>
          <xdr:col>9</xdr:col>
          <xdr:colOff>542925</xdr:colOff>
          <xdr:row>2</xdr:row>
          <xdr:rowOff>19050</xdr:rowOff>
        </xdr:to>
        <xdr:sp macro="" textlink="">
          <xdr:nvSpPr>
            <xdr:cNvPr id="17450" name="Button 42" hidden="1">
              <a:extLst>
                <a:ext uri="{63B3BB69-23CF-44E3-9099-C40C66FF867C}">
                  <a14:compatExt spid="_x0000_s17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</xdr:row>
          <xdr:rowOff>123825</xdr:rowOff>
        </xdr:from>
        <xdr:to>
          <xdr:col>16</xdr:col>
          <xdr:colOff>561975</xdr:colOff>
          <xdr:row>3</xdr:row>
          <xdr:rowOff>171450</xdr:rowOff>
        </xdr:to>
        <xdr:sp macro="" textlink="">
          <xdr:nvSpPr>
            <xdr:cNvPr id="17452" name="Drop Down 44" hidden="1">
              <a:extLst>
                <a:ext uri="{63B3BB69-23CF-44E3-9099-C40C66FF867C}">
                  <a14:compatExt spid="_x0000_s17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16</xdr:col>
          <xdr:colOff>561975</xdr:colOff>
          <xdr:row>2</xdr:row>
          <xdr:rowOff>57150</xdr:rowOff>
        </xdr:to>
        <xdr:sp macro="" textlink="">
          <xdr:nvSpPr>
            <xdr:cNvPr id="17453" name="Button 45" hidden="1">
              <a:extLst>
                <a:ext uri="{63B3BB69-23CF-44E3-9099-C40C66FF867C}">
                  <a14:compatExt spid="_x0000_s17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from Master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25</xdr:row>
          <xdr:rowOff>9525</xdr:rowOff>
        </xdr:from>
        <xdr:to>
          <xdr:col>16</xdr:col>
          <xdr:colOff>581025</xdr:colOff>
          <xdr:row>27</xdr:row>
          <xdr:rowOff>76200</xdr:rowOff>
        </xdr:to>
        <xdr:sp macro="" textlink="">
          <xdr:nvSpPr>
            <xdr:cNvPr id="17454" name="Button 46" hidden="1">
              <a:extLst>
                <a:ext uri="{63B3BB69-23CF-44E3-9099-C40C66FF867C}">
                  <a14:compatExt spid="_x0000_s17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Master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142875</xdr:rowOff>
        </xdr:from>
        <xdr:to>
          <xdr:col>16</xdr:col>
          <xdr:colOff>561975</xdr:colOff>
          <xdr:row>23</xdr:row>
          <xdr:rowOff>123825</xdr:rowOff>
        </xdr:to>
        <xdr:sp macro="" textlink="">
          <xdr:nvSpPr>
            <xdr:cNvPr id="17455" name="List Box 47" hidden="1">
              <a:extLst>
                <a:ext uri="{63B3BB69-23CF-44E3-9099-C40C66FF867C}">
                  <a14:compatExt spid="_x0000_s17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22</xdr:row>
          <xdr:rowOff>66675</xdr:rowOff>
        </xdr:from>
        <xdr:to>
          <xdr:col>9</xdr:col>
          <xdr:colOff>600075</xdr:colOff>
          <xdr:row>23</xdr:row>
          <xdr:rowOff>180975</xdr:rowOff>
        </xdr:to>
        <xdr:sp macro="" textlink="">
          <xdr:nvSpPr>
            <xdr:cNvPr id="17457" name="Button 49" hidden="1">
              <a:extLst>
                <a:ext uri="{63B3BB69-23CF-44E3-9099-C40C66FF867C}">
                  <a14:compatExt spid="_x0000_s1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27</xdr:row>
          <xdr:rowOff>171450</xdr:rowOff>
        </xdr:from>
        <xdr:to>
          <xdr:col>16</xdr:col>
          <xdr:colOff>581025</xdr:colOff>
          <xdr:row>30</xdr:row>
          <xdr:rowOff>47625</xdr:rowOff>
        </xdr:to>
        <xdr:sp macro="" textlink="">
          <xdr:nvSpPr>
            <xdr:cNvPr id="17458" name="Button 50" hidden="1">
              <a:extLst>
                <a:ext uri="{63B3BB69-23CF-44E3-9099-C40C66FF867C}">
                  <a14:compatExt spid="_x0000_s17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Repository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44"/>
  <sheetViews>
    <sheetView tabSelected="1" zoomScaleNormal="100" workbookViewId="0">
      <selection activeCell="W24" sqref="W24"/>
    </sheetView>
  </sheetViews>
  <sheetFormatPr defaultRowHeight="15" x14ac:dyDescent="0.25"/>
  <cols>
    <col min="1" max="1" width="2.42578125" style="160" customWidth="1"/>
    <col min="2" max="2" width="20.42578125" style="160" customWidth="1"/>
    <col min="3" max="3" width="20.42578125" style="160" bestFit="1" customWidth="1"/>
    <col min="4" max="4" width="2.42578125" style="168" customWidth="1"/>
    <col min="5" max="5" width="1.140625" style="160" customWidth="1"/>
    <col min="6" max="6" width="9.140625" style="199"/>
    <col min="7" max="7" width="3" style="199" customWidth="1"/>
    <col min="8" max="10" width="9.140625" style="199"/>
    <col min="11" max="11" width="1.140625" style="206" customWidth="1"/>
    <col min="12" max="12" width="1" style="160" customWidth="1"/>
    <col min="13" max="13" width="1" style="190" customWidth="1"/>
    <col min="14" max="17" width="9.140625" style="190"/>
    <col min="18" max="18" width="1.7109375" style="190" customWidth="1"/>
    <col min="19" max="16384" width="9.140625" style="160"/>
  </cols>
  <sheetData>
    <row r="1" spans="1:18" ht="26.25" x14ac:dyDescent="0.4">
      <c r="A1" s="169"/>
      <c r="B1" s="218" t="s">
        <v>286</v>
      </c>
      <c r="C1" s="218"/>
      <c r="D1" s="202"/>
      <c r="E1" s="203"/>
      <c r="F1" s="204"/>
      <c r="G1" s="210" t="s">
        <v>310</v>
      </c>
      <c r="H1" s="219"/>
      <c r="I1" s="219"/>
      <c r="J1" s="204"/>
      <c r="K1" s="205"/>
      <c r="L1" s="203"/>
      <c r="M1" s="210" t="s">
        <v>311</v>
      </c>
      <c r="N1" s="210"/>
      <c r="O1" s="210"/>
      <c r="P1" s="210"/>
      <c r="Q1" s="210"/>
      <c r="R1" s="210"/>
    </row>
    <row r="2" spans="1:18" ht="24" customHeight="1" x14ac:dyDescent="0.25">
      <c r="A2" s="161"/>
      <c r="B2" s="161" t="s">
        <v>60</v>
      </c>
      <c r="C2" s="161"/>
      <c r="D2" s="167"/>
    </row>
    <row r="3" spans="1:18" ht="15.75" thickBot="1" x14ac:dyDescent="0.3">
      <c r="A3" s="161"/>
      <c r="B3" s="165" t="s">
        <v>278</v>
      </c>
      <c r="C3" s="165" t="s">
        <v>281</v>
      </c>
      <c r="D3" s="167"/>
    </row>
    <row r="4" spans="1:18" ht="15.75" thickBot="1" x14ac:dyDescent="0.3">
      <c r="A4" s="161"/>
      <c r="B4" s="331"/>
      <c r="C4" s="180">
        <v>0</v>
      </c>
      <c r="D4" s="167"/>
      <c r="F4" s="208" t="s">
        <v>7</v>
      </c>
      <c r="H4" s="211" t="e">
        <f>VLOOKUP(RAIndex,Repository,8,FALSE)</f>
        <v>#N/A</v>
      </c>
      <c r="I4" s="212"/>
      <c r="J4" s="213"/>
    </row>
    <row r="5" spans="1:18" ht="15.75" thickBot="1" x14ac:dyDescent="0.3">
      <c r="A5" s="161"/>
      <c r="B5" s="165" t="s">
        <v>283</v>
      </c>
      <c r="C5" s="165" t="s">
        <v>284</v>
      </c>
      <c r="D5" s="167"/>
      <c r="F5" s="209"/>
    </row>
    <row r="6" spans="1:18" ht="15.75" thickBot="1" x14ac:dyDescent="0.3">
      <c r="A6" s="161"/>
      <c r="B6" s="179" t="s">
        <v>320</v>
      </c>
      <c r="C6" s="180" t="s">
        <v>312</v>
      </c>
      <c r="D6" s="167"/>
      <c r="F6" s="208" t="s">
        <v>8</v>
      </c>
      <c r="H6" s="211" t="e">
        <f>VLOOKUP(RAIndex,Repository,9,FALSE)</f>
        <v>#N/A</v>
      </c>
      <c r="I6" s="212"/>
      <c r="J6" s="213"/>
    </row>
    <row r="7" spans="1:18" ht="15.75" thickBot="1" x14ac:dyDescent="0.3">
      <c r="A7" s="161"/>
      <c r="B7" s="165" t="s">
        <v>285</v>
      </c>
      <c r="C7" s="165" t="s">
        <v>80</v>
      </c>
      <c r="D7" s="167"/>
      <c r="F7" s="209"/>
    </row>
    <row r="8" spans="1:18" ht="15.75" customHeight="1" thickBot="1" x14ac:dyDescent="0.3">
      <c r="A8" s="161"/>
      <c r="B8" s="183">
        <v>43132</v>
      </c>
      <c r="C8" s="184">
        <v>43313</v>
      </c>
      <c r="D8" s="167"/>
      <c r="F8" s="208" t="s">
        <v>282</v>
      </c>
      <c r="H8" s="211" t="e">
        <f>VLOOKUP(RAIndex,Repository,7,FALSE)</f>
        <v>#N/A</v>
      </c>
      <c r="I8" s="212"/>
      <c r="J8" s="213"/>
    </row>
    <row r="9" spans="1:18" ht="15.75" thickBot="1" x14ac:dyDescent="0.3">
      <c r="A9" s="161"/>
      <c r="B9" s="165" t="s">
        <v>287</v>
      </c>
      <c r="C9" s="165" t="s">
        <v>288</v>
      </c>
      <c r="D9" s="167"/>
      <c r="F9" s="209"/>
    </row>
    <row r="10" spans="1:18" ht="15.75" thickBot="1" x14ac:dyDescent="0.3">
      <c r="A10" s="161"/>
      <c r="B10" s="179">
        <v>5</v>
      </c>
      <c r="C10" s="180">
        <v>3</v>
      </c>
      <c r="D10" s="167"/>
      <c r="F10" s="208" t="s">
        <v>3</v>
      </c>
      <c r="H10" s="211" t="e">
        <f>VLOOKUP(RAIndex,Repository, 4,FALSE)</f>
        <v>#N/A</v>
      </c>
      <c r="I10" s="212"/>
      <c r="J10" s="213"/>
    </row>
    <row r="11" spans="1:18" ht="15.75" thickBot="1" x14ac:dyDescent="0.3">
      <c r="A11" s="161"/>
      <c r="B11" s="165" t="s">
        <v>289</v>
      </c>
      <c r="C11" s="165"/>
      <c r="D11" s="167"/>
      <c r="F11" s="208"/>
      <c r="G11" s="206"/>
      <c r="H11" s="207"/>
      <c r="I11" s="207"/>
      <c r="J11" s="207"/>
    </row>
    <row r="12" spans="1:18" ht="15.75" thickBot="1" x14ac:dyDescent="0.3">
      <c r="A12" s="161"/>
      <c r="B12" s="183">
        <v>43312</v>
      </c>
      <c r="C12" s="180"/>
      <c r="D12" s="167"/>
      <c r="F12" s="208" t="s">
        <v>323</v>
      </c>
      <c r="H12" s="215" t="e">
        <f>VLOOKUP(RAIndex,Repository,10,FALSE)</f>
        <v>#N/A</v>
      </c>
      <c r="I12" s="216"/>
      <c r="J12" s="217"/>
    </row>
    <row r="13" spans="1:18" ht="15.75" thickBot="1" x14ac:dyDescent="0.3">
      <c r="A13" s="161"/>
      <c r="B13" s="165" t="s">
        <v>298</v>
      </c>
      <c r="C13" s="165" t="s">
        <v>299</v>
      </c>
      <c r="D13" s="167"/>
    </row>
    <row r="14" spans="1:18" ht="15.75" thickBot="1" x14ac:dyDescent="0.3">
      <c r="A14" s="161"/>
      <c r="B14" s="181" t="s">
        <v>328</v>
      </c>
      <c r="C14" s="182" t="s">
        <v>327</v>
      </c>
      <c r="D14" s="167"/>
      <c r="F14" s="201"/>
      <c r="G14" s="201"/>
      <c r="H14" s="201"/>
      <c r="I14" s="201"/>
      <c r="J14" s="201"/>
    </row>
    <row r="15" spans="1:18" ht="15.75" thickBot="1" x14ac:dyDescent="0.3">
      <c r="A15" s="161"/>
      <c r="B15" s="165" t="s">
        <v>300</v>
      </c>
      <c r="C15" s="165" t="s">
        <v>301</v>
      </c>
      <c r="D15" s="167"/>
      <c r="F15" s="200" t="s">
        <v>76</v>
      </c>
      <c r="H15" s="211" t="e">
        <f>'Water Sewer Calc'!I16</f>
        <v>#N/A</v>
      </c>
      <c r="I15" s="212"/>
      <c r="J15" s="213"/>
    </row>
    <row r="16" spans="1:18" ht="15.75" thickBot="1" x14ac:dyDescent="0.3">
      <c r="A16" s="161"/>
      <c r="B16" s="179" t="s">
        <v>97</v>
      </c>
      <c r="C16" s="180" t="s">
        <v>100</v>
      </c>
      <c r="D16" s="167"/>
    </row>
    <row r="17" spans="1:10" ht="15.75" thickBot="1" x14ac:dyDescent="0.3">
      <c r="A17" s="161"/>
      <c r="B17" s="165" t="s">
        <v>1</v>
      </c>
      <c r="C17" s="165" t="s">
        <v>321</v>
      </c>
      <c r="D17" s="167"/>
      <c r="F17" s="200" t="s">
        <v>279</v>
      </c>
      <c r="H17" s="211" t="e">
        <f>'Water Sewer Calc'!I17</f>
        <v>#N/A</v>
      </c>
      <c r="I17" s="212"/>
      <c r="J17" s="213"/>
    </row>
    <row r="18" spans="1:10" ht="15.75" thickBot="1" x14ac:dyDescent="0.3">
      <c r="A18" s="161"/>
      <c r="B18" s="179" t="s">
        <v>20</v>
      </c>
      <c r="C18" s="179" t="s">
        <v>322</v>
      </c>
      <c r="D18" s="167"/>
    </row>
    <row r="19" spans="1:10" ht="15.75" thickBot="1" x14ac:dyDescent="0.3">
      <c r="A19" s="161"/>
      <c r="B19" s="165" t="s">
        <v>279</v>
      </c>
      <c r="C19" s="166" t="s">
        <v>280</v>
      </c>
      <c r="D19" s="167"/>
      <c r="F19" s="200" t="s">
        <v>280</v>
      </c>
      <c r="H19" s="211">
        <f>'Water Sewer Calc'!C11</f>
        <v>0</v>
      </c>
      <c r="I19" s="212"/>
      <c r="J19" s="213"/>
    </row>
    <row r="20" spans="1:10" ht="15" customHeight="1" thickBot="1" x14ac:dyDescent="0.3">
      <c r="A20" s="161"/>
      <c r="B20" s="332">
        <v>43160</v>
      </c>
      <c r="C20" s="162">
        <v>2</v>
      </c>
      <c r="D20" s="167"/>
    </row>
    <row r="21" spans="1:10" ht="15.75" thickBot="1" x14ac:dyDescent="0.3">
      <c r="A21" s="161"/>
      <c r="B21" s="333">
        <v>43191</v>
      </c>
      <c r="C21" s="163">
        <v>5</v>
      </c>
      <c r="D21" s="167"/>
      <c r="F21" s="200" t="s">
        <v>309</v>
      </c>
      <c r="H21" s="214">
        <f>'Water Sewer Calc'!F29</f>
        <v>0</v>
      </c>
      <c r="I21" s="212"/>
      <c r="J21" s="213"/>
    </row>
    <row r="22" spans="1:10" x14ac:dyDescent="0.25">
      <c r="A22" s="161"/>
      <c r="B22" s="333">
        <v>43221</v>
      </c>
      <c r="C22" s="163">
        <v>4</v>
      </c>
      <c r="D22" s="167"/>
    </row>
    <row r="23" spans="1:10" x14ac:dyDescent="0.25">
      <c r="A23" s="161"/>
      <c r="B23" s="333">
        <v>43252</v>
      </c>
      <c r="C23" s="163">
        <v>5</v>
      </c>
      <c r="D23" s="167"/>
    </row>
    <row r="24" spans="1:10" x14ac:dyDescent="0.25">
      <c r="A24" s="161"/>
      <c r="B24" s="333">
        <v>43282</v>
      </c>
      <c r="C24" s="163">
        <v>6</v>
      </c>
      <c r="D24" s="167"/>
    </row>
    <row r="25" spans="1:10" x14ac:dyDescent="0.25">
      <c r="A25" s="161"/>
      <c r="B25" s="333">
        <v>43313</v>
      </c>
      <c r="C25" s="163">
        <v>7</v>
      </c>
      <c r="D25" s="167"/>
    </row>
    <row r="26" spans="1:10" x14ac:dyDescent="0.25">
      <c r="A26" s="161"/>
      <c r="B26" s="333"/>
      <c r="C26" s="163"/>
      <c r="D26" s="167"/>
    </row>
    <row r="27" spans="1:10" x14ac:dyDescent="0.25">
      <c r="A27" s="161"/>
      <c r="B27" s="333"/>
      <c r="C27" s="163"/>
      <c r="D27" s="167"/>
    </row>
    <row r="28" spans="1:10" x14ac:dyDescent="0.25">
      <c r="A28" s="161"/>
      <c r="B28" s="333"/>
      <c r="C28" s="163"/>
      <c r="D28" s="167"/>
    </row>
    <row r="29" spans="1:10" x14ac:dyDescent="0.25">
      <c r="A29" s="161"/>
      <c r="B29" s="333"/>
      <c r="C29" s="163"/>
      <c r="D29" s="167"/>
    </row>
    <row r="30" spans="1:10" x14ac:dyDescent="0.25">
      <c r="A30" s="161"/>
      <c r="B30" s="333"/>
      <c r="C30" s="163"/>
      <c r="D30" s="167"/>
    </row>
    <row r="31" spans="1:10" x14ac:dyDescent="0.25">
      <c r="A31" s="161"/>
      <c r="B31" s="333"/>
      <c r="C31" s="163"/>
      <c r="D31" s="167"/>
    </row>
    <row r="32" spans="1:10" x14ac:dyDescent="0.25">
      <c r="A32" s="161"/>
      <c r="B32" s="333"/>
      <c r="C32" s="163"/>
      <c r="D32" s="167"/>
    </row>
    <row r="33" spans="1:4" x14ac:dyDescent="0.25">
      <c r="A33" s="161"/>
      <c r="B33" s="333"/>
      <c r="C33" s="163"/>
      <c r="D33" s="167"/>
    </row>
    <row r="34" spans="1:4" x14ac:dyDescent="0.25">
      <c r="A34" s="161"/>
      <c r="B34" s="333"/>
      <c r="C34" s="163"/>
      <c r="D34" s="167"/>
    </row>
    <row r="35" spans="1:4" x14ac:dyDescent="0.25">
      <c r="A35" s="161"/>
      <c r="B35" s="333"/>
      <c r="C35" s="163"/>
      <c r="D35" s="167"/>
    </row>
    <row r="36" spans="1:4" x14ac:dyDescent="0.25">
      <c r="A36" s="161"/>
      <c r="B36" s="333"/>
      <c r="C36" s="163"/>
      <c r="D36" s="167"/>
    </row>
    <row r="37" spans="1:4" x14ac:dyDescent="0.25">
      <c r="A37" s="161"/>
      <c r="B37" s="333"/>
      <c r="C37" s="163"/>
      <c r="D37" s="167"/>
    </row>
    <row r="38" spans="1:4" x14ac:dyDescent="0.25">
      <c r="A38" s="161"/>
      <c r="B38" s="333"/>
      <c r="C38" s="163"/>
      <c r="D38" s="167"/>
    </row>
    <row r="39" spans="1:4" x14ac:dyDescent="0.25">
      <c r="A39" s="161"/>
      <c r="B39" s="333"/>
      <c r="C39" s="163"/>
      <c r="D39" s="167"/>
    </row>
    <row r="40" spans="1:4" x14ac:dyDescent="0.25">
      <c r="A40" s="161"/>
      <c r="B40" s="333"/>
      <c r="C40" s="163"/>
      <c r="D40" s="167"/>
    </row>
    <row r="41" spans="1:4" x14ac:dyDescent="0.25">
      <c r="A41" s="161"/>
      <c r="B41" s="333"/>
      <c r="C41" s="163"/>
      <c r="D41" s="167"/>
    </row>
    <row r="42" spans="1:4" x14ac:dyDescent="0.25">
      <c r="A42" s="161"/>
      <c r="B42" s="333"/>
      <c r="C42" s="163"/>
      <c r="D42" s="167"/>
    </row>
    <row r="43" spans="1:4" ht="15.75" thickBot="1" x14ac:dyDescent="0.3">
      <c r="A43" s="161"/>
      <c r="B43" s="334"/>
      <c r="C43" s="164"/>
      <c r="D43" s="161"/>
    </row>
    <row r="44" spans="1:4" x14ac:dyDescent="0.25">
      <c r="A44" s="161"/>
      <c r="B44" s="161"/>
      <c r="C44" s="161"/>
      <c r="D44" s="161"/>
    </row>
  </sheetData>
  <mergeCells count="12">
    <mergeCell ref="B1:C1"/>
    <mergeCell ref="H4:J4"/>
    <mergeCell ref="H6:J6"/>
    <mergeCell ref="H8:J8"/>
    <mergeCell ref="H10:J10"/>
    <mergeCell ref="G1:I1"/>
    <mergeCell ref="M1:R1"/>
    <mergeCell ref="H15:J15"/>
    <mergeCell ref="H17:J17"/>
    <mergeCell ref="H19:J19"/>
    <mergeCell ref="H21:J21"/>
    <mergeCell ref="H12:J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Append_Rep">
                <anchor moveWithCells="1" sizeWithCells="1">
                  <from>
                    <xdr:col>1</xdr:col>
                    <xdr:colOff>47625</xdr:colOff>
                    <xdr:row>1</xdr:row>
                    <xdr:rowOff>47625</xdr:rowOff>
                  </from>
                  <to>
                    <xdr:col>2</xdr:col>
                    <xdr:colOff>990600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5" name="Button 42">
              <controlPr defaultSize="0" print="0" autoFill="0" autoPict="0" macro="[0]!SubmitForReview">
                <anchor moveWithCells="1" sizeWithCells="1">
                  <from>
                    <xdr:col>5</xdr:col>
                    <xdr:colOff>219075</xdr:colOff>
                    <xdr:row>1</xdr:row>
                    <xdr:rowOff>95250</xdr:rowOff>
                  </from>
                  <to>
                    <xdr:col>9</xdr:col>
                    <xdr:colOff>542925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2" r:id="rId6" name="Drop Down 44">
              <controlPr defaultSize="0" autoLine="0" autoPict="0" macro="[0]!GenLists">
                <anchor moveWithCells="1">
                  <from>
                    <xdr:col>13</xdr:col>
                    <xdr:colOff>95250</xdr:colOff>
                    <xdr:row>2</xdr:row>
                    <xdr:rowOff>123825</xdr:rowOff>
                  </from>
                  <to>
                    <xdr:col>16</xdr:col>
                    <xdr:colOff>561975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3" r:id="rId7" name="Button 45">
              <controlPr defaultSize="0" print="0" autoFill="0" autoPict="0" macro="[0]!UpdateFromMaster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16</xdr:col>
                    <xdr:colOff>561975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4" r:id="rId8" name="Button 46">
              <controlPr defaultSize="0" print="0" autoFill="0" autoPict="0" macro="[0]!UpdateToMaster">
                <anchor moveWithCells="1" sizeWithCells="1">
                  <from>
                    <xdr:col>13</xdr:col>
                    <xdr:colOff>85725</xdr:colOff>
                    <xdr:row>25</xdr:row>
                    <xdr:rowOff>9525</xdr:rowOff>
                  </from>
                  <to>
                    <xdr:col>16</xdr:col>
                    <xdr:colOff>581025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5" r:id="rId9" name="List Box 47">
              <controlPr defaultSize="0" autoLine="0" autoPict="0" macro="[0]!FillIndex">
                <anchor moveWithCells="1">
                  <from>
                    <xdr:col>13</xdr:col>
                    <xdr:colOff>104775</xdr:colOff>
                    <xdr:row>4</xdr:row>
                    <xdr:rowOff>142875</xdr:rowOff>
                  </from>
                  <to>
                    <xdr:col>16</xdr:col>
                    <xdr:colOff>561975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7" r:id="rId10" name="Button 49">
              <controlPr defaultSize="0" print="0" autoFill="0" autoPict="0" macro="[0]!Hold">
                <anchor moveWithCells="1" sizeWithCells="1">
                  <from>
                    <xdr:col>5</xdr:col>
                    <xdr:colOff>133350</xdr:colOff>
                    <xdr:row>22</xdr:row>
                    <xdr:rowOff>66675</xdr:rowOff>
                  </from>
                  <to>
                    <xdr:col>9</xdr:col>
                    <xdr:colOff>600075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8" r:id="rId11" name="Button 50">
              <controlPr defaultSize="0" print="0" autoFill="0" autoPict="0" macro="[0]!Reset">
                <anchor moveWithCells="1" sizeWithCells="1">
                  <from>
                    <xdr:col>13</xdr:col>
                    <xdr:colOff>95250</xdr:colOff>
                    <xdr:row>27</xdr:row>
                    <xdr:rowOff>171450</xdr:rowOff>
                  </from>
                  <to>
                    <xdr:col>16</xdr:col>
                    <xdr:colOff>581025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300"/>
  <sheetViews>
    <sheetView topLeftCell="A7" workbookViewId="0">
      <selection activeCell="B22" sqref="B22"/>
    </sheetView>
  </sheetViews>
  <sheetFormatPr defaultRowHeight="15" x14ac:dyDescent="0.25"/>
  <cols>
    <col min="1" max="1" width="7.42578125" style="2" bestFit="1" customWidth="1"/>
    <col min="2" max="2" width="12.140625" style="3" bestFit="1" customWidth="1"/>
    <col min="3" max="3" width="10.28515625" style="4" bestFit="1" customWidth="1"/>
    <col min="4" max="4" width="15" style="3" bestFit="1" customWidth="1"/>
    <col min="5" max="5" width="13.85546875" style="2" bestFit="1" customWidth="1"/>
    <col min="6" max="6" width="7.85546875" style="2" bestFit="1" customWidth="1"/>
    <col min="7" max="7" width="12.5703125" style="5" bestFit="1" customWidth="1"/>
    <col min="8" max="8" width="35.28515625" style="3" bestFit="1" customWidth="1"/>
    <col min="9" max="9" width="26.140625" style="3" bestFit="1" customWidth="1"/>
    <col min="10" max="10" width="14" style="3" bestFit="1" customWidth="1"/>
    <col min="11" max="11" width="12.28515625" style="3" bestFit="1" customWidth="1"/>
    <col min="12" max="12" width="12.42578125" style="3" bestFit="1" customWidth="1"/>
    <col min="13" max="13" width="14.140625" style="3" bestFit="1" customWidth="1"/>
    <col min="14" max="14" width="12.5703125" style="3" bestFit="1" customWidth="1"/>
    <col min="15" max="15" width="13.85546875" style="3" bestFit="1" customWidth="1"/>
    <col min="16" max="16" width="15.28515625" style="3" bestFit="1" customWidth="1"/>
    <col min="17" max="17" width="16.42578125" style="3" bestFit="1" customWidth="1"/>
    <col min="18" max="18" width="10.5703125" style="3" bestFit="1" customWidth="1"/>
    <col min="19" max="19" width="12" style="3" bestFit="1" customWidth="1"/>
    <col min="20" max="20" width="31.42578125" style="3" bestFit="1" customWidth="1"/>
    <col min="21" max="21" width="11.7109375" customWidth="1"/>
    <col min="22" max="23" width="13" customWidth="1"/>
    <col min="24" max="24" width="12" customWidth="1"/>
  </cols>
  <sheetData>
    <row r="1" spans="1:3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290</v>
      </c>
      <c r="V1" s="1" t="s">
        <v>291</v>
      </c>
      <c r="W1" s="1" t="s">
        <v>295</v>
      </c>
      <c r="X1" s="1" t="s">
        <v>292</v>
      </c>
      <c r="Y1" s="1" t="s">
        <v>293</v>
      </c>
      <c r="Z1" s="1" t="s">
        <v>294</v>
      </c>
      <c r="AA1" s="1" t="s">
        <v>280</v>
      </c>
      <c r="AB1" s="1" t="s">
        <v>79</v>
      </c>
      <c r="AC1" s="1" t="s">
        <v>296</v>
      </c>
      <c r="AD1" s="1" t="s">
        <v>297</v>
      </c>
    </row>
    <row r="2" spans="1:30" s="3" customFormat="1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30" s="3" customFormat="1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1:30" s="3" customFormat="1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s="3" customForma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s="3" customForma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s="3" customForma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s="3" customForma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s="3" customForma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s="3" customForma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s="3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s="3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s="3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s="3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s="3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3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s="3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s="3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s="3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3" customFormat="1" ht="15" customHeigh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3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3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3" customFormat="1" ht="15" customHeigh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3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3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3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3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3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3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3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3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3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s="3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s="3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s="3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s="3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s="3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s="3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3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3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s="3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s="3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s="3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s="3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s="3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s="3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s="3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s="3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s="3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s="3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s="3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s="3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s="3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s="3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s="3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s="3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s="3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s="3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s="3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s="3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s="3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s="3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s="3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s="3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s="3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s="3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s="3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s="3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s="3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s="3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s="3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s="3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s="3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s="3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s="3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s="3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s="3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s="3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s="3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s="3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s="3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s="3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s="3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s="3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s="3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s="3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s="3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s="3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s="3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30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30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30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30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30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30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 spans="1:2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</row>
    <row r="223" spans="1:2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</row>
    <row r="224" spans="1:2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</row>
    <row r="225" spans="1:20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</row>
    <row r="226" spans="1:20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</row>
    <row r="227" spans="1:2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</row>
    <row r="228" spans="1:2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</row>
    <row r="229" spans="1:2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</row>
    <row r="230" spans="1:2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</row>
    <row r="231" spans="1:2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</row>
    <row r="232" spans="1:2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</row>
    <row r="233" spans="1:2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</row>
    <row r="234" spans="1:2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</row>
    <row r="235" spans="1:2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</row>
    <row r="236" spans="1:2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</row>
    <row r="237" spans="1:2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</row>
    <row r="238" spans="1:2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</row>
    <row r="239" spans="1:2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</row>
    <row r="240" spans="1:2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</row>
    <row r="241" spans="1:20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1:20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1:2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1:2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1:2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1:2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1:2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1:2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1:2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1:2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1:2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1:2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1:2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1:2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1:2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1:2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1:20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1:20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1:20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1:20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1:20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1:20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1:20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1:2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1:2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1:2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1:2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1:2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1:2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1:2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1:2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1:20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1:20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1:20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1:20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1:20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1:20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1:20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1:20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1:20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1:20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1:20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1:20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1:20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1:20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1:20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1:20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1:20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1:20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1:20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1:20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1:20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1:20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1:20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1:20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1:20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1:20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1:20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1:20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1:20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9"/>
  <sheetViews>
    <sheetView workbookViewId="0">
      <selection activeCell="I10" sqref="I10"/>
    </sheetView>
  </sheetViews>
  <sheetFormatPr defaultRowHeight="12.75" x14ac:dyDescent="0.2"/>
  <cols>
    <col min="1" max="1" width="34.42578125" style="15" bestFit="1" customWidth="1"/>
    <col min="2" max="2" width="3.140625" style="15" customWidth="1"/>
    <col min="3" max="3" width="14.5703125" style="15" customWidth="1"/>
    <col min="4" max="4" width="33.7109375" style="7" customWidth="1"/>
    <col min="5" max="5" width="3.42578125" style="7" customWidth="1"/>
    <col min="6" max="8" width="9.140625" style="7"/>
    <col min="9" max="9" width="63.85546875" style="7" customWidth="1"/>
    <col min="10" max="16384" width="9.140625" style="7"/>
  </cols>
  <sheetData>
    <row r="1" spans="1:9" ht="15" customHeight="1" x14ac:dyDescent="0.2">
      <c r="A1" s="223" t="s">
        <v>24</v>
      </c>
      <c r="B1" s="223"/>
      <c r="C1" s="223"/>
      <c r="D1" s="223"/>
      <c r="E1" s="223"/>
      <c r="F1" s="6"/>
      <c r="G1" s="6"/>
    </row>
    <row r="2" spans="1:9" ht="15.75" customHeight="1" thickBot="1" x14ac:dyDescent="0.25">
      <c r="A2" s="224"/>
      <c r="B2" s="224"/>
      <c r="C2" s="224"/>
      <c r="D2" s="224"/>
      <c r="E2" s="224"/>
      <c r="F2" s="6"/>
      <c r="G2" s="6"/>
      <c r="I2" s="8" t="s">
        <v>25</v>
      </c>
    </row>
    <row r="3" spans="1:9" ht="15.75" customHeight="1" x14ac:dyDescent="0.2">
      <c r="A3" s="9"/>
      <c r="B3" s="9"/>
      <c r="C3" s="9"/>
      <c r="D3" s="9"/>
      <c r="E3" s="9"/>
      <c r="F3" s="6"/>
      <c r="G3" s="6"/>
      <c r="I3" s="10" t="s">
        <v>26</v>
      </c>
    </row>
    <row r="4" spans="1:9" ht="15" x14ac:dyDescent="0.25">
      <c r="A4" s="11" t="s">
        <v>27</v>
      </c>
      <c r="B4" s="12"/>
      <c r="C4" s="12"/>
      <c r="D4" s="7">
        <f>RAIndex</f>
        <v>0</v>
      </c>
      <c r="I4" s="13" t="str">
        <f>CONCATENATE("DR Total $",'Water Sewer Calc'!F29)</f>
        <v>DR Total $0</v>
      </c>
    </row>
    <row r="5" spans="1:9" x14ac:dyDescent="0.2">
      <c r="A5" s="14" t="s">
        <v>28</v>
      </c>
      <c r="B5" s="220" t="e">
        <f>VLOOKUP(RAIndex,Repository,8,FALSE)</f>
        <v>#N/A</v>
      </c>
      <c r="C5" s="220"/>
      <c r="D5" s="220"/>
      <c r="I5" s="7" t="str">
        <f>CONCATENATE("W311 $",'Water Sewer Calc'!F17,", S301 $",'Water Sewer Calc'!F27)</f>
        <v>W311 $0, S301 $0</v>
      </c>
    </row>
    <row r="6" spans="1:9" x14ac:dyDescent="0.2">
      <c r="A6" s="14" t="s">
        <v>29</v>
      </c>
      <c r="B6" s="220" t="e">
        <f>VLOOKUP(RAIndex,Repository,9,FALSE)</f>
        <v>#N/A</v>
      </c>
      <c r="C6" s="220"/>
      <c r="D6" s="220"/>
      <c r="I6" s="7" t="str">
        <f xml:space="preserve"> CONCATENATE("Backbill ",'Water Sewer Calc'!B11," mos ",'Water Sewer Calc'!A11)</f>
        <v xml:space="preserve">Backbill  mos </v>
      </c>
    </row>
    <row r="7" spans="1:9" x14ac:dyDescent="0.2">
      <c r="A7" s="14" t="s">
        <v>30</v>
      </c>
      <c r="B7" s="220" t="s">
        <v>20</v>
      </c>
      <c r="C7" s="220"/>
      <c r="D7" s="220"/>
      <c r="I7" s="7" t="str">
        <f>CONCATENATE("RA # ",D4, " Jide")</f>
        <v>RA # 0 Jide</v>
      </c>
    </row>
    <row r="8" spans="1:9" ht="15.75" customHeight="1" x14ac:dyDescent="0.2">
      <c r="A8" s="15" t="s">
        <v>31</v>
      </c>
      <c r="B8" s="220" t="e">
        <f>VLOOKUP(RAIndex,Repository,7,FALSE)</f>
        <v>#N/A</v>
      </c>
      <c r="C8" s="220"/>
      <c r="D8" s="220"/>
    </row>
    <row r="9" spans="1:9" ht="15" customHeight="1" x14ac:dyDescent="0.2">
      <c r="A9" s="15" t="s">
        <v>32</v>
      </c>
      <c r="B9" s="220" t="e">
        <f>VLOOKUP(RAIndex,Repository,10,FALSE)</f>
        <v>#N/A</v>
      </c>
      <c r="C9" s="220"/>
      <c r="D9" s="220"/>
      <c r="I9" s="10" t="s">
        <v>33</v>
      </c>
    </row>
    <row r="10" spans="1:9" x14ac:dyDescent="0.2">
      <c r="A10" s="15" t="s">
        <v>34</v>
      </c>
      <c r="B10" s="220" t="e">
        <f>VLOOKUP(RAIndex,Repository,11,FALSE)</f>
        <v>#N/A</v>
      </c>
      <c r="C10" s="220"/>
      <c r="D10" s="220"/>
      <c r="I10" s="13" t="str">
        <f>CONCATENATE("DR Total $",'Water Sewer Calc'!F29)</f>
        <v>DR Total $0</v>
      </c>
    </row>
    <row r="11" spans="1:9" x14ac:dyDescent="0.2">
      <c r="A11" s="15" t="s">
        <v>35</v>
      </c>
      <c r="B11" s="220" t="e">
        <f>VLOOKUP(RAIndex,Repository,12,FALSE)</f>
        <v>#N/A</v>
      </c>
      <c r="C11" s="220"/>
      <c r="D11" s="220"/>
      <c r="I11" s="7" t="str">
        <f>CONCATENATE("W311 $",'Water Sewer Calc'!F17,", S301 $",'Water Sewer Calc'!F27)</f>
        <v>W311 $0, S301 $0</v>
      </c>
    </row>
    <row r="12" spans="1:9" x14ac:dyDescent="0.2">
      <c r="A12" s="15" t="s">
        <v>36</v>
      </c>
      <c r="B12" s="221" t="e">
        <f>VLOOKUP(RAIndex,Repository,13,FALSE)</f>
        <v>#N/A</v>
      </c>
      <c r="C12" s="221"/>
      <c r="D12" s="221"/>
      <c r="I12" s="7" t="str">
        <f xml:space="preserve"> CONCATENATE("Backbill ",'Water Sewer Calc'!B11," mos ",'Water Sewer Calc'!A11)</f>
        <v xml:space="preserve">Backbill  mos </v>
      </c>
    </row>
    <row r="13" spans="1:9" x14ac:dyDescent="0.2">
      <c r="A13" s="15" t="s">
        <v>37</v>
      </c>
      <c r="B13" s="222"/>
      <c r="C13" s="222"/>
      <c r="D13" s="222"/>
      <c r="I13" s="7" t="e">
        <f>CONCATENATE(B10, " failed to reg cons")</f>
        <v>#N/A</v>
      </c>
    </row>
    <row r="14" spans="1:9" x14ac:dyDescent="0.2">
      <c r="D14" s="15"/>
      <c r="G14" s="16" t="s">
        <v>38</v>
      </c>
      <c r="I14" s="7" t="e">
        <f>CONCATENATE("Mtr replaced ",TEXT(B12,"mm/dd/yy"))</f>
        <v>#N/A</v>
      </c>
    </row>
    <row r="15" spans="1:9" x14ac:dyDescent="0.2">
      <c r="G15" s="7" t="e">
        <f>CONCATENATE("\\main\finance\Utilities\UtilitiesPublic\Customer Support\RA Audits\1 JIDE FILING\",D4," ",B8," ",PROPER(B5))</f>
        <v>#N/A</v>
      </c>
      <c r="I15" s="7" t="str">
        <f>CONCATENATE("RA # ",D4, " Jide")</f>
        <v>RA # 0 Jide</v>
      </c>
    </row>
    <row r="16" spans="1:9" ht="15" x14ac:dyDescent="0.25">
      <c r="A16" s="11" t="s">
        <v>39</v>
      </c>
      <c r="B16" s="12"/>
      <c r="C16" s="12"/>
      <c r="D16" s="11" t="s">
        <v>40</v>
      </c>
    </row>
    <row r="17" spans="1:5" x14ac:dyDescent="0.2">
      <c r="A17" s="14" t="s">
        <v>41</v>
      </c>
      <c r="B17" s="17" t="s">
        <v>42</v>
      </c>
      <c r="C17" s="18"/>
      <c r="D17" s="15" t="s">
        <v>43</v>
      </c>
      <c r="E17" s="17" t="s">
        <v>42</v>
      </c>
    </row>
    <row r="18" spans="1:5" x14ac:dyDescent="0.2">
      <c r="A18" s="15" t="s">
        <v>44</v>
      </c>
      <c r="B18" s="17" t="s">
        <v>42</v>
      </c>
      <c r="C18" s="19" t="e">
        <f>VLOOKUP(RAIndex,Repository,5)</f>
        <v>#N/A</v>
      </c>
      <c r="D18" s="15" t="s">
        <v>45</v>
      </c>
      <c r="E18" s="20" t="s">
        <v>42</v>
      </c>
    </row>
    <row r="19" spans="1:5" x14ac:dyDescent="0.2">
      <c r="A19" s="15" t="s">
        <v>46</v>
      </c>
      <c r="B19" s="17" t="s">
        <v>42</v>
      </c>
      <c r="C19" s="19" t="str">
        <f>IF(VLOOKUP(Menu!B16,Tariffs!A2:A21,1,FALSE)= Menu!B16,"Inside","Outside")</f>
        <v>Inside</v>
      </c>
      <c r="D19" s="15" t="s">
        <v>47</v>
      </c>
      <c r="E19" s="17" t="s">
        <v>42</v>
      </c>
    </row>
    <row r="20" spans="1:5" x14ac:dyDescent="0.2">
      <c r="A20" s="15" t="s">
        <v>48</v>
      </c>
      <c r="B20" s="17" t="s">
        <v>42</v>
      </c>
      <c r="C20" s="19"/>
      <c r="D20" s="14" t="s">
        <v>49</v>
      </c>
      <c r="E20" s="21" t="s">
        <v>42</v>
      </c>
    </row>
    <row r="21" spans="1:5" x14ac:dyDescent="0.2">
      <c r="A21" s="14" t="s">
        <v>50</v>
      </c>
      <c r="B21" s="17" t="s">
        <v>42</v>
      </c>
      <c r="C21" s="22" t="e">
        <f>CONCATENATE("Prev ",VLOOKUP(RAIndex,Repository,24)," | ", "Curr ",VLOOKUP(RAIndex,Repository,24))</f>
        <v>#N/A</v>
      </c>
      <c r="D21" s="15"/>
      <c r="E21" s="18"/>
    </row>
    <row r="22" spans="1:5" ht="15" x14ac:dyDescent="0.25">
      <c r="A22" s="12"/>
      <c r="B22" s="12"/>
      <c r="C22" s="12"/>
      <c r="D22" s="15"/>
      <c r="E22" s="18"/>
    </row>
    <row r="23" spans="1:5" ht="12.75" customHeight="1" x14ac:dyDescent="0.2"/>
    <row r="24" spans="1:5" ht="15" x14ac:dyDescent="0.25">
      <c r="A24" s="11" t="s">
        <v>51</v>
      </c>
    </row>
    <row r="25" spans="1:5" x14ac:dyDescent="0.2">
      <c r="A25" s="14" t="s">
        <v>52</v>
      </c>
      <c r="B25" s="21"/>
    </row>
    <row r="26" spans="1:5" x14ac:dyDescent="0.2">
      <c r="A26" s="14" t="s">
        <v>53</v>
      </c>
      <c r="B26" s="21"/>
      <c r="C26" s="23"/>
      <c r="D26" s="24"/>
    </row>
    <row r="27" spans="1:5" x14ac:dyDescent="0.2">
      <c r="A27" s="14" t="s">
        <v>54</v>
      </c>
      <c r="B27" s="21"/>
      <c r="C27" s="23"/>
      <c r="D27" s="24"/>
    </row>
    <row r="28" spans="1:5" x14ac:dyDescent="0.2">
      <c r="A28" s="14" t="s">
        <v>55</v>
      </c>
      <c r="B28" s="21"/>
    </row>
    <row r="29" spans="1:5" x14ac:dyDescent="0.2">
      <c r="A29" s="14" t="s">
        <v>56</v>
      </c>
      <c r="B29" s="17"/>
    </row>
    <row r="30" spans="1:5" x14ac:dyDescent="0.2">
      <c r="A30" s="14" t="s">
        <v>57</v>
      </c>
      <c r="B30" s="21"/>
    </row>
    <row r="31" spans="1:5" x14ac:dyDescent="0.2">
      <c r="A31" s="14" t="s">
        <v>58</v>
      </c>
      <c r="B31" s="21"/>
      <c r="C31" s="23"/>
      <c r="D31" s="24"/>
    </row>
    <row r="32" spans="1:5" x14ac:dyDescent="0.2">
      <c r="A32" s="14" t="s">
        <v>59</v>
      </c>
      <c r="B32" s="21" t="str">
        <f>IF('Water Sewer Calc'!F29&lt;300,"NA", "X")</f>
        <v>NA</v>
      </c>
      <c r="D32" s="7" t="s">
        <v>60</v>
      </c>
    </row>
    <row r="33" spans="1:2" x14ac:dyDescent="0.2">
      <c r="A33" s="14" t="s">
        <v>61</v>
      </c>
      <c r="B33" s="21"/>
    </row>
    <row r="38" spans="1:2" ht="12.75" customHeight="1" x14ac:dyDescent="0.2"/>
    <row r="43" spans="1:2" ht="12.75" customHeight="1" x14ac:dyDescent="0.2"/>
    <row r="49" ht="12.75" customHeight="1" x14ac:dyDescent="0.2"/>
  </sheetData>
  <mergeCells count="10">
    <mergeCell ref="B10:D10"/>
    <mergeCell ref="B11:D11"/>
    <mergeCell ref="B12:D12"/>
    <mergeCell ref="B13:D13"/>
    <mergeCell ref="A1:E2"/>
    <mergeCell ref="B5:D5"/>
    <mergeCell ref="B6:D6"/>
    <mergeCell ref="B7:D7"/>
    <mergeCell ref="B8:D8"/>
    <mergeCell ref="B9:D9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M59"/>
  <sheetViews>
    <sheetView zoomScaleNormal="100" workbookViewId="0">
      <selection activeCell="F27" sqref="F27"/>
    </sheetView>
  </sheetViews>
  <sheetFormatPr defaultRowHeight="12.75" x14ac:dyDescent="0.2"/>
  <cols>
    <col min="1" max="1" width="27.85546875" style="29" bestFit="1" customWidth="1"/>
    <col min="2" max="2" width="10.5703125" style="29" customWidth="1"/>
    <col min="3" max="3" width="11.5703125" style="29" customWidth="1"/>
    <col min="4" max="4" width="10.140625" style="29" customWidth="1"/>
    <col min="5" max="5" width="12.140625" style="28" bestFit="1" customWidth="1"/>
    <col min="6" max="6" width="17.28515625" style="28" customWidth="1"/>
    <col min="7" max="7" width="0" style="25" hidden="1" customWidth="1"/>
    <col min="8" max="8" width="21.7109375" style="26" hidden="1" customWidth="1"/>
    <col min="9" max="9" width="18.5703125" style="26" hidden="1" customWidth="1"/>
    <col min="10" max="10" width="0" style="27" hidden="1" customWidth="1"/>
    <col min="11" max="11" width="0" style="26" hidden="1" customWidth="1"/>
    <col min="12" max="13" width="0" style="25" hidden="1" customWidth="1"/>
    <col min="14" max="16384" width="9.140625" style="25"/>
  </cols>
  <sheetData>
    <row r="1" spans="1:11" ht="15.75" x14ac:dyDescent="0.25">
      <c r="A1" s="230" t="e">
        <f>Checklist!B5</f>
        <v>#N/A</v>
      </c>
      <c r="B1" s="230"/>
      <c r="C1" s="230"/>
      <c r="D1" s="230"/>
      <c r="E1" s="230"/>
      <c r="F1" s="230"/>
    </row>
    <row r="2" spans="1:11" ht="15.75" x14ac:dyDescent="0.25">
      <c r="A2" s="230" t="e">
        <f>Checklist!B6</f>
        <v>#N/A</v>
      </c>
      <c r="B2" s="230"/>
      <c r="C2" s="230"/>
      <c r="D2" s="230"/>
      <c r="E2" s="230"/>
      <c r="F2" s="230"/>
      <c r="H2" s="60"/>
      <c r="I2" s="67" t="s">
        <v>85</v>
      </c>
    </row>
    <row r="3" spans="1:11" ht="15.75" x14ac:dyDescent="0.25">
      <c r="A3" s="230" t="e">
        <f>Checklist!B8</f>
        <v>#N/A</v>
      </c>
      <c r="B3" s="230"/>
      <c r="C3" s="230"/>
      <c r="D3" s="230"/>
      <c r="E3" s="230"/>
      <c r="F3" s="230"/>
      <c r="I3" s="79">
        <v>43221</v>
      </c>
      <c r="J3" s="27" t="s">
        <v>72</v>
      </c>
    </row>
    <row r="4" spans="1:11" x14ac:dyDescent="0.2">
      <c r="I4" s="79">
        <v>43009</v>
      </c>
      <c r="J4" s="27" t="s">
        <v>318</v>
      </c>
    </row>
    <row r="5" spans="1:11" x14ac:dyDescent="0.2">
      <c r="A5" s="78"/>
      <c r="B5" s="78"/>
    </row>
    <row r="6" spans="1:11" x14ac:dyDescent="0.2">
      <c r="H6" s="77"/>
    </row>
    <row r="7" spans="1:11" ht="13.5" thickBot="1" x14ac:dyDescent="0.25">
      <c r="A7" s="225" t="s">
        <v>84</v>
      </c>
      <c r="B7" s="225"/>
      <c r="C7" s="225"/>
      <c r="D7" s="225"/>
      <c r="E7" s="225"/>
      <c r="F7" s="225"/>
      <c r="K7" s="193"/>
    </row>
    <row r="8" spans="1:11" s="72" customFormat="1" x14ac:dyDescent="0.2">
      <c r="A8" s="226" t="s">
        <v>76</v>
      </c>
      <c r="B8" s="228" t="s">
        <v>75</v>
      </c>
      <c r="C8" s="59" t="s">
        <v>74</v>
      </c>
      <c r="D8" s="59"/>
      <c r="E8" s="58"/>
      <c r="F8" s="57"/>
      <c r="H8" s="76"/>
      <c r="I8" s="73"/>
      <c r="J8" s="60"/>
      <c r="K8" s="73"/>
    </row>
    <row r="9" spans="1:11" s="72" customFormat="1" thickBot="1" x14ac:dyDescent="0.25">
      <c r="A9" s="227"/>
      <c r="B9" s="229"/>
      <c r="C9" s="56" t="s">
        <v>73</v>
      </c>
      <c r="D9" s="56" t="s">
        <v>71</v>
      </c>
      <c r="E9" s="75"/>
      <c r="F9" s="55" t="s">
        <v>70</v>
      </c>
      <c r="H9" s="73"/>
      <c r="I9" s="73"/>
      <c r="J9" s="74"/>
      <c r="K9" s="73"/>
    </row>
    <row r="10" spans="1:11" ht="13.5" thickBot="1" x14ac:dyDescent="0.25">
      <c r="A10" s="54"/>
      <c r="B10" s="53">
        <v>-1</v>
      </c>
      <c r="C10" s="52">
        <v>-2</v>
      </c>
      <c r="D10" s="52">
        <v>-3</v>
      </c>
      <c r="E10" s="71"/>
      <c r="F10" s="50" t="s">
        <v>83</v>
      </c>
      <c r="H10" s="37" t="s">
        <v>82</v>
      </c>
      <c r="I10" s="37"/>
    </row>
    <row r="11" spans="1:11" ht="15" x14ac:dyDescent="0.25">
      <c r="A11"/>
      <c r="B11"/>
      <c r="C11"/>
      <c r="D11"/>
      <c r="E11"/>
      <c r="F11" s="65">
        <f>B11*C11*D11</f>
        <v>0</v>
      </c>
      <c r="G11" s="69" t="s">
        <v>81</v>
      </c>
      <c r="H11" s="68" t="e">
        <f>VLOOKUP(RAIndex,Repository,25,)</f>
        <v>#N/A</v>
      </c>
      <c r="I11" s="67" t="e">
        <f>TEXT(H11,"mmm yyyy")</f>
        <v>#N/A</v>
      </c>
      <c r="J11" s="70"/>
      <c r="K11" s="60"/>
    </row>
    <row r="12" spans="1:11" ht="15" x14ac:dyDescent="0.25">
      <c r="A12"/>
      <c r="B12"/>
      <c r="C12"/>
      <c r="D12"/>
      <c r="E12"/>
      <c r="F12" s="65">
        <f>B12*C12*D12</f>
        <v>0</v>
      </c>
      <c r="G12" s="69" t="s">
        <v>80</v>
      </c>
      <c r="H12" s="68" t="e">
        <f>VLOOKUP(RAIndex,Repository,26)</f>
        <v>#N/A</v>
      </c>
      <c r="I12" s="67" t="e">
        <f>TEXT(H12,"mmm yyyy")</f>
        <v>#N/A</v>
      </c>
      <c r="J12" s="27" t="s">
        <v>60</v>
      </c>
    </row>
    <row r="13" spans="1:11" ht="15" x14ac:dyDescent="0.25">
      <c r="A13"/>
      <c r="B13"/>
      <c r="C13"/>
      <c r="D13"/>
      <c r="E13"/>
      <c r="F13" s="65">
        <f>IFERROR(B13*C13*D13,0)</f>
        <v>0</v>
      </c>
      <c r="H13" s="37" t="s">
        <v>79</v>
      </c>
      <c r="I13" s="37"/>
    </row>
    <row r="14" spans="1:11" ht="15" hidden="1" x14ac:dyDescent="0.25">
      <c r="A14"/>
      <c r="B14"/>
      <c r="C14"/>
      <c r="D14"/>
      <c r="E14"/>
      <c r="F14" s="66">
        <f>B14*C14*D14</f>
        <v>0</v>
      </c>
      <c r="H14" s="37"/>
      <c r="I14" s="37"/>
    </row>
    <row r="15" spans="1:11" ht="15" hidden="1" x14ac:dyDescent="0.25">
      <c r="A15"/>
      <c r="B15"/>
      <c r="C15"/>
      <c r="D15"/>
      <c r="E15"/>
      <c r="F15" s="66">
        <f>B15*C15*D15</f>
        <v>0</v>
      </c>
      <c r="H15" s="37"/>
      <c r="I15" s="37"/>
    </row>
    <row r="16" spans="1:11" ht="15" x14ac:dyDescent="0.25">
      <c r="A16"/>
      <c r="B16"/>
      <c r="C16"/>
      <c r="D16"/>
      <c r="E16"/>
      <c r="F16" s="65">
        <f>B16*C16*D16</f>
        <v>0</v>
      </c>
      <c r="H16" s="37" t="e">
        <f>IF(VLOOKUP(RAIndex,Repository,28,FALSE)="","",VLOOKUP(RAIndex,Repository,28,FALSE))</f>
        <v>#N/A</v>
      </c>
      <c r="I16" s="37" t="e">
        <f>CONCATENATE(Beginning, " - ",End)</f>
        <v>#N/A</v>
      </c>
    </row>
    <row r="17" spans="1:13" ht="13.5" thickBot="1" x14ac:dyDescent="0.25">
      <c r="A17" s="64"/>
      <c r="B17" s="47" t="s">
        <v>78</v>
      </c>
      <c r="C17" s="46"/>
      <c r="D17" s="46"/>
      <c r="E17" s="45"/>
      <c r="F17" s="44">
        <f>SUM(F11:F16)</f>
        <v>0</v>
      </c>
      <c r="H17" s="42"/>
      <c r="I17" s="37" t="e">
        <f>ROUND(((H12-H11)/30)+1,0)</f>
        <v>#N/A</v>
      </c>
      <c r="J17" s="38"/>
    </row>
    <row r="18" spans="1:13" ht="13.5" thickBot="1" x14ac:dyDescent="0.25">
      <c r="A18" s="63"/>
      <c r="B18" s="62"/>
      <c r="C18" s="62"/>
      <c r="D18" s="62"/>
      <c r="E18" s="61"/>
      <c r="F18" s="61"/>
      <c r="H18" s="232" t="s">
        <v>317</v>
      </c>
      <c r="I18" s="232"/>
      <c r="J18" s="232"/>
      <c r="K18" s="232"/>
      <c r="L18" s="232"/>
    </row>
    <row r="19" spans="1:13" ht="13.5" thickBot="1" x14ac:dyDescent="0.25">
      <c r="A19" s="225" t="s">
        <v>77</v>
      </c>
      <c r="B19" s="225"/>
      <c r="C19" s="225"/>
      <c r="D19" s="225"/>
      <c r="E19" s="225"/>
      <c r="F19" s="225"/>
      <c r="H19" s="226" t="s">
        <v>76</v>
      </c>
      <c r="I19" s="228" t="s">
        <v>75</v>
      </c>
      <c r="J19" s="59" t="s">
        <v>74</v>
      </c>
      <c r="K19" s="59"/>
      <c r="L19" s="195"/>
    </row>
    <row r="20" spans="1:13" ht="13.5" thickBot="1" x14ac:dyDescent="0.25">
      <c r="A20" s="226" t="s">
        <v>76</v>
      </c>
      <c r="B20" s="228" t="s">
        <v>75</v>
      </c>
      <c r="C20" s="59" t="s">
        <v>74</v>
      </c>
      <c r="D20" s="59"/>
      <c r="E20" s="58"/>
      <c r="F20" s="57"/>
      <c r="H20" s="231"/>
      <c r="I20" s="229"/>
      <c r="J20" s="56" t="s">
        <v>73</v>
      </c>
      <c r="K20" s="56" t="s">
        <v>71</v>
      </c>
      <c r="L20" s="196" t="s">
        <v>319</v>
      </c>
    </row>
    <row r="21" spans="1:13" ht="13.5" thickBot="1" x14ac:dyDescent="0.25">
      <c r="A21" s="227"/>
      <c r="B21" s="229"/>
      <c r="C21" s="56" t="s">
        <v>73</v>
      </c>
      <c r="D21" s="56" t="s">
        <v>72</v>
      </c>
      <c r="E21" s="56" t="s">
        <v>71</v>
      </c>
      <c r="F21" s="55" t="s">
        <v>70</v>
      </c>
      <c r="H21" s="37" t="e">
        <f>IF(ROUND((Fin-RateChangeDate)/30,0)=0, TEXT(End, "mmm yyyy"),IF(H11&gt;RateChangeDate,CONCATENATE(TEXT(H11,"mmm yyyy")," - ",TEXT(H12,"mmm yyyy")),CONCATENATE(TEXT(RateChangeDate,"mmm yyyy")," - ",TEXT(H12,"mmm yyyy"))))</f>
        <v>#N/A</v>
      </c>
      <c r="I21" s="37" t="e">
        <f>IF(H11&gt;RateChangeDate,ROUND(((H12-H11)/30)+1,0),ROUND(((H12-RateChangeDate)/30)+1,0))</f>
        <v>#N/A</v>
      </c>
      <c r="J21" s="192">
        <f>B56</f>
        <v>5</v>
      </c>
      <c r="K21" s="26" t="e">
        <f>VLOOKUP(VLOOKUP(CustRef,CustRefRep,23,FALSE),Tariffs!A:C, 3,FALSE)</f>
        <v>#N/A</v>
      </c>
      <c r="L21" s="25" t="e">
        <f>I21*J21*K21</f>
        <v>#N/A</v>
      </c>
    </row>
    <row r="22" spans="1:13" ht="13.5" thickBot="1" x14ac:dyDescent="0.25">
      <c r="A22" s="54"/>
      <c r="B22" s="53">
        <v>-1</v>
      </c>
      <c r="C22" s="52">
        <v>-2</v>
      </c>
      <c r="D22" s="52">
        <v>-3</v>
      </c>
      <c r="E22" s="51" t="s">
        <v>69</v>
      </c>
      <c r="F22" s="50" t="s">
        <v>68</v>
      </c>
      <c r="H22" s="37" t="e">
        <f>IF(H11&lt;RateChangeDate,IF(ROUND((RateChangeDate-H11)/30,0)=1,TEXT(H11,"mmm yyyy"),CONCATENATE(TEXT(H11,"mmm yyyy")," - ",TEXT(RateChangeDate-30,"mmm yyyy"))),"")</f>
        <v>#N/A</v>
      </c>
      <c r="I22" s="37" t="e">
        <f>IF(H11&lt;RateChangeDate,IF(ROUND((RateChangeDate-H11)/30,0)=1,1,ROUND((RateChangeDate-H11)/30,0)),0)</f>
        <v>#N/A</v>
      </c>
      <c r="J22" s="192">
        <f>B56</f>
        <v>5</v>
      </c>
      <c r="K22" s="26" t="e">
        <f>VLOOKUP(VLOOKUP(CustRef,CustRefRep,23,FALSE),Tariffs!E:G, 3,FALSE)</f>
        <v>#N/A</v>
      </c>
      <c r="L22" s="25" t="e">
        <f>I22*J22*K22</f>
        <v>#N/A</v>
      </c>
    </row>
    <row r="23" spans="1:13" ht="15" x14ac:dyDescent="0.25">
      <c r="A23"/>
      <c r="B23"/>
      <c r="C23"/>
      <c r="D23"/>
      <c r="E23"/>
      <c r="F23" s="49">
        <f>IF(C23&lt;=D23,(B23*C23*E23),(B23*D23*E23))</f>
        <v>0</v>
      </c>
      <c r="H23" s="37" t="e">
        <f>IF(H16="","","Previously billed")</f>
        <v>#N/A</v>
      </c>
      <c r="I23" s="37" t="e">
        <f>IF(H16="","",1)</f>
        <v>#N/A</v>
      </c>
      <c r="J23" s="27" t="e">
        <f>IF(H16="",0,H16)</f>
        <v>#N/A</v>
      </c>
      <c r="K23" s="26" t="e">
        <f>K21</f>
        <v>#N/A</v>
      </c>
      <c r="L23" s="25" t="e">
        <f>I23*J23*K23</f>
        <v>#N/A</v>
      </c>
    </row>
    <row r="24" spans="1:13" ht="15" x14ac:dyDescent="0.25">
      <c r="A24"/>
      <c r="B24"/>
      <c r="C24"/>
      <c r="D24"/>
      <c r="E24"/>
      <c r="F24" s="49">
        <f>IFERROR(IF(ABS(C24)&lt;=D24,(B24*C24*E24),(B24*D24*E24)),0)</f>
        <v>0</v>
      </c>
      <c r="H24" s="37"/>
      <c r="I24" s="37"/>
    </row>
    <row r="25" spans="1:13" ht="15.75" thickBot="1" x14ac:dyDescent="0.3">
      <c r="A25"/>
      <c r="B25"/>
      <c r="C25"/>
      <c r="D25"/>
      <c r="E25"/>
      <c r="F25" s="49">
        <f>IFERROR(IF(ABS(C25)&lt;=D25,(B25*C25*E25),(B25*D25*E25)),0)</f>
        <v>0</v>
      </c>
      <c r="H25" s="233" t="s">
        <v>317</v>
      </c>
      <c r="I25" s="233"/>
      <c r="J25" s="233"/>
      <c r="K25" s="233"/>
      <c r="L25" s="233"/>
    </row>
    <row r="26" spans="1:13" ht="15" x14ac:dyDescent="0.25">
      <c r="A26"/>
      <c r="B26"/>
      <c r="C26"/>
      <c r="D26"/>
      <c r="E26"/>
      <c r="F26" s="49">
        <f>IFERROR(IF(ABS(C26)&lt;=D26,(B26*C26*E26),(B26*D26*E26)),0)</f>
        <v>0</v>
      </c>
      <c r="H26" s="226" t="s">
        <v>76</v>
      </c>
      <c r="I26" s="228" t="s">
        <v>75</v>
      </c>
      <c r="J26" s="59" t="s">
        <v>74</v>
      </c>
      <c r="K26" s="59"/>
      <c r="L26" s="191"/>
      <c r="M26" s="197"/>
    </row>
    <row r="27" spans="1:13" ht="13.5" thickBot="1" x14ac:dyDescent="0.25">
      <c r="A27" s="48"/>
      <c r="B27" s="47" t="s">
        <v>67</v>
      </c>
      <c r="C27" s="46"/>
      <c r="D27" s="46"/>
      <c r="E27" s="45"/>
      <c r="F27" s="44">
        <f>SUM(F23:F26)</f>
        <v>0</v>
      </c>
      <c r="H27" s="231"/>
      <c r="I27" s="229"/>
      <c r="J27" s="56" t="s">
        <v>73</v>
      </c>
      <c r="K27" s="56" t="s">
        <v>72</v>
      </c>
      <c r="L27" s="55" t="s">
        <v>71</v>
      </c>
      <c r="M27" s="198"/>
    </row>
    <row r="28" spans="1:13" x14ac:dyDescent="0.2">
      <c r="G28" s="25">
        <v>1</v>
      </c>
      <c r="H28" s="37" t="e">
        <f>IF(Fin&lt;ChangeDate,"",IF(Fin=ChangeDate,TEXT(ChangeDate,"mmm yyyy"),IF(Beg&gt;ChangeDate,CONCATENATE(Beginning," - ",End), CONCATENATE(TEXT(ChangeDate,"mmm yyyy"), " - ",End))))</f>
        <v>#N/A</v>
      </c>
      <c r="I28" s="37" t="e">
        <f>IF(Fin&lt;ChangeDate,0,IF(Fin=ChangeDate,1,IF(Beg&gt;ChangeDate,ROUND(((End-Beginning)/30)+1,0), ROUND(((End-ChangeDate)/30)+1,0))))</f>
        <v>#N/A</v>
      </c>
      <c r="J28" s="192">
        <f>B56</f>
        <v>5</v>
      </c>
      <c r="K28" s="26">
        <f>Menu!C10</f>
        <v>3</v>
      </c>
      <c r="L28" s="25" t="e">
        <f>VLOOKUP(VLOOKUP(CustRef,CustRefRep,24,FALSE),Tariffs!A:G,3,FALSE)</f>
        <v>#N/A</v>
      </c>
      <c r="M28" s="25">
        <f>IFERROR(IF(ABS(J28)&lt;=K28,(I28*J28*L28),(I28*K28*L28)),0)</f>
        <v>0</v>
      </c>
    </row>
    <row r="29" spans="1:13" ht="13.5" thickBot="1" x14ac:dyDescent="0.25">
      <c r="D29" s="41" t="s">
        <v>66</v>
      </c>
      <c r="F29" s="43">
        <f>F27+F17</f>
        <v>0</v>
      </c>
      <c r="G29" s="25">
        <v>2</v>
      </c>
      <c r="H29" s="194" t="e">
        <f>IF(Beg&gt;ChangeDate,"", IF(ROUND((RateChangeDate-End)/30,0)=0,TEXT(RateChangeDate,"mmm yyyy"), IF(ROUND((ChangeDate-Beg)/30,0)=1,TEXT(ChangeDate-30,"mmm yyyy"),
IF(AND(Beg&lt;RateChangeDate,Fin&gt;ChangeDate),CONCATENATE(TEXT(RateChangeDate,"mmm yyyy")," - ",TEXT(ChangeDate-30,"mmm yyyy")),
IF(AND(Beg&lt;RateChangeDate,Fin&lt;ChangeDate),CONCATENATE(TEXT(RateChangeDate,"mmm yyyy")," - ",TEXT(Fin,"mmm yyyy")),
IF(AND(Beg&gt;RateChangeDate,Fin&gt;=ChangeDate),CONCATENATE(TEXT(Beg,"mmm yyyy")," - ",TEXT(ChangeDate-30,"mmm yyyy")),
CONCATENATE(TEXT(Beg,"mmm yyyy")," - ",TEXT(Fin,"mmm yyyy"))))))))</f>
        <v>#N/A</v>
      </c>
      <c r="I29" s="37" t="e">
        <f>IF(Beg&gt;ChangeDate,0, IF(ROUND((RateChangeDate-End)/30,0)=0,1, IF(ROUND((ChangeDate-Beg)/30,0)=1,1,
IF(AND(Beg&lt;RateChangeDate,Fin&gt;ChangeDate),ROUND(((ChangeDate-RateChangeDate)/30),0),
IF(AND(Beg&lt;RateChangeDate,Fin&lt;ChangeDate),ROUND(((Fin-RateChangeDate)/30)+1,0),
IF(AND(Beg&gt;RateChangeDate,Fin&gt;=ChangeDate),ROUND(((ChangeDate-Beg)/30),0),
ROUND(((Fin-Beg)/30)+1,0)))))))</f>
        <v>#N/A</v>
      </c>
      <c r="J29" s="27" t="e">
        <f>IF(H29="","",B$56)</f>
        <v>#N/A</v>
      </c>
      <c r="K29" s="26">
        <f>Menu!B10</f>
        <v>5</v>
      </c>
      <c r="L29" s="25" t="e">
        <f>VLOOKUP(VLOOKUP(CustRef,CustRefRep,24,FALSE),Tariffs!A:G,3,FALSE)</f>
        <v>#N/A</v>
      </c>
      <c r="M29" s="25">
        <f>IFERROR(IF(ABS(J29)&lt;=K29,(I29*J29*L29),(I29*K29*L29)),0)</f>
        <v>0</v>
      </c>
    </row>
    <row r="30" spans="1:13" ht="13.5" thickTop="1" x14ac:dyDescent="0.2">
      <c r="A30" s="170" t="s">
        <v>65</v>
      </c>
      <c r="B30" s="171" t="s">
        <v>64</v>
      </c>
      <c r="D30" s="41"/>
      <c r="F30" s="40"/>
      <c r="G30" s="25">
        <v>3</v>
      </c>
      <c r="H30" s="37" t="e">
        <f>IF(Beg&gt;RateChangeDate-30,"",IF(ROUND((RateChangeDate-Beg)/30,0)=1,TEXT(RateChangeDate-30,"mmm yyyy"),IF(Fin&lt;RateChangeDate,CONCATENATE(TEXT(Beg,"mmm yyyy")," -",TEXT(RateChangeDate, "mmm yyyy")),CONCATENATE(TEXT(Beg,"mmm yyyy"),," - ", TEXT(RateChangeDate-30,"mmm yyyy")))))</f>
        <v>#N/A</v>
      </c>
      <c r="I30" s="37" t="e">
        <f>IF(Beg&gt;RateChangeDate-30,0,
IF(ROUND((RateChangeDate-Beg)/30,0)=1,1,
IF(Fin&lt;RateChangeDate,ROUND((RateChangeDate-Beg)/30,0),
(ROUND((RateChangeDate-Beg)/30,0)
))))</f>
        <v>#N/A</v>
      </c>
      <c r="J30" s="192">
        <f>B$56</f>
        <v>5</v>
      </c>
      <c r="K30" s="26">
        <f>Menu!B10</f>
        <v>5</v>
      </c>
      <c r="L30" s="25" t="e">
        <f>VLOOKUP(VLOOKUP(CustRef,CustRefRep,24,FALSE),Tariffs!A:G,7,FALSE)</f>
        <v>#N/A</v>
      </c>
      <c r="M30" s="25">
        <f>IFERROR(IF(ABS(J30)&lt;=K30,(I30*J30*L30),(I30*K30*L30)),0)</f>
        <v>0</v>
      </c>
    </row>
    <row r="31" spans="1:13" x14ac:dyDescent="0.2">
      <c r="A31" s="173">
        <f>IF(Menu!B20="","",Menu!B20)</f>
        <v>43160</v>
      </c>
      <c r="B31" s="176">
        <f>IF(Menu!C20="","",Menu!C20)</f>
        <v>2</v>
      </c>
      <c r="G31" s="25">
        <v>4</v>
      </c>
      <c r="H31" s="39" t="e">
        <f>IF(H16="","","Previously billed")</f>
        <v>#N/A</v>
      </c>
      <c r="I31" s="26" t="e">
        <f>IF(H16="","",1)</f>
        <v>#N/A</v>
      </c>
      <c r="J31" s="27" t="e">
        <f>IF(H31="",0,H16)</f>
        <v>#N/A</v>
      </c>
      <c r="K31" s="26">
        <f>Menu!C10</f>
        <v>3</v>
      </c>
      <c r="L31" s="25" t="e">
        <f>VLOOKUP(VLOOKUP(CustRef,CustRefRep,24,FALSE),Tariffs!A:G,3,FALSE)</f>
        <v>#N/A</v>
      </c>
      <c r="M31" s="25">
        <f>IFERROR(IF(ABS(J31)&lt;=K31,(I31*J31*L31),(I31*K31*L31)),0)</f>
        <v>0</v>
      </c>
    </row>
    <row r="32" spans="1:13" x14ac:dyDescent="0.2">
      <c r="A32" s="173">
        <f>IF(Menu!B21="","",Menu!B21)</f>
        <v>43191</v>
      </c>
      <c r="B32" s="176">
        <f>IF(Menu!C21="","",Menu!C21)</f>
        <v>5</v>
      </c>
      <c r="D32" s="29" t="s">
        <v>60</v>
      </c>
      <c r="G32" s="25">
        <v>5</v>
      </c>
      <c r="H32" s="39"/>
      <c r="J32" s="27" t="str">
        <f>IF(H32="","",B$56)</f>
        <v/>
      </c>
    </row>
    <row r="33" spans="1:10" x14ac:dyDescent="0.2">
      <c r="A33" s="173">
        <f>IF(Menu!B22="","",Menu!B22)</f>
        <v>43221</v>
      </c>
      <c r="B33" s="176">
        <f>IF(Menu!C22="","",Menu!C22)</f>
        <v>4</v>
      </c>
      <c r="G33" s="25">
        <v>6</v>
      </c>
      <c r="H33" s="39"/>
      <c r="J33" s="38"/>
    </row>
    <row r="34" spans="1:10" x14ac:dyDescent="0.2">
      <c r="A34" s="173">
        <f>IF(Menu!B23="","",Menu!B23)</f>
        <v>43252</v>
      </c>
      <c r="B34" s="176">
        <f>IF(Menu!C23="","",Menu!C23)</f>
        <v>5</v>
      </c>
      <c r="H34" s="39"/>
      <c r="J34" s="38"/>
    </row>
    <row r="35" spans="1:10" x14ac:dyDescent="0.2">
      <c r="A35" s="173">
        <f>IF(Menu!B24="","",Menu!B24)</f>
        <v>43282</v>
      </c>
      <c r="B35" s="176">
        <f>IF(Menu!C24="","",Menu!C24)</f>
        <v>6</v>
      </c>
      <c r="H35" s="39"/>
      <c r="J35" s="38"/>
    </row>
    <row r="36" spans="1:10" x14ac:dyDescent="0.2">
      <c r="A36" s="173">
        <f>IF(Menu!B25="","",Menu!B25)</f>
        <v>43313</v>
      </c>
      <c r="B36" s="176">
        <f>IF(Menu!C25="","",Menu!C25)</f>
        <v>7</v>
      </c>
      <c r="H36" s="39"/>
      <c r="J36" s="38"/>
    </row>
    <row r="37" spans="1:10" x14ac:dyDescent="0.2">
      <c r="A37" s="173" t="str">
        <f>IF(Menu!B26="","",Menu!B26)</f>
        <v/>
      </c>
      <c r="B37" s="176" t="str">
        <f>IF(Menu!C26="","",Menu!C26)</f>
        <v/>
      </c>
      <c r="H37" s="39"/>
      <c r="J37" s="38"/>
    </row>
    <row r="38" spans="1:10" x14ac:dyDescent="0.2">
      <c r="A38" s="173" t="str">
        <f>IF(Menu!B27="","",Menu!B27)</f>
        <v/>
      </c>
      <c r="B38" s="176" t="str">
        <f>IF(Menu!C27="","",Menu!C27)</f>
        <v/>
      </c>
      <c r="H38" s="39"/>
      <c r="J38" s="38"/>
    </row>
    <row r="39" spans="1:10" x14ac:dyDescent="0.2">
      <c r="A39" s="173" t="str">
        <f>IF(Menu!B28="","",Menu!B28)</f>
        <v/>
      </c>
      <c r="B39" s="176" t="str">
        <f>IF(Menu!C28="","",Menu!C28)</f>
        <v/>
      </c>
      <c r="H39" s="39"/>
      <c r="J39" s="38"/>
    </row>
    <row r="40" spans="1:10" x14ac:dyDescent="0.2">
      <c r="A40" s="173" t="str">
        <f>IF(Menu!B29="","",Menu!B29)</f>
        <v/>
      </c>
      <c r="B40" s="176" t="str">
        <f>IF(Menu!C29="","",Menu!C29)</f>
        <v/>
      </c>
      <c r="H40" s="39"/>
      <c r="J40" s="38"/>
    </row>
    <row r="41" spans="1:10" x14ac:dyDescent="0.2">
      <c r="A41" s="173" t="str">
        <f>IF(Menu!B30="","",Menu!B30)</f>
        <v/>
      </c>
      <c r="B41" s="176" t="str">
        <f>IF(Menu!C30="","",Menu!C30)</f>
        <v/>
      </c>
      <c r="H41" s="39"/>
      <c r="J41" s="38"/>
    </row>
    <row r="42" spans="1:10" x14ac:dyDescent="0.2">
      <c r="A42" s="173" t="str">
        <f>IF(Menu!B31="","",Menu!B31)</f>
        <v/>
      </c>
      <c r="B42" s="176" t="str">
        <f>IF(Menu!C31="","",Menu!C31)</f>
        <v/>
      </c>
      <c r="H42" s="37"/>
      <c r="I42" s="37"/>
    </row>
    <row r="43" spans="1:10" x14ac:dyDescent="0.2">
      <c r="A43" s="173" t="str">
        <f>IF(Menu!B32="","",Menu!B32)</f>
        <v/>
      </c>
      <c r="B43" s="176" t="str">
        <f>IF(Menu!C32="","",Menu!C32)</f>
        <v/>
      </c>
      <c r="H43" s="37"/>
      <c r="I43" s="37"/>
    </row>
    <row r="44" spans="1:10" x14ac:dyDescent="0.2">
      <c r="A44" s="173" t="str">
        <f>IF(Menu!B33="","",Menu!B33)</f>
        <v/>
      </c>
      <c r="B44" s="176" t="str">
        <f>IF(Menu!C33="","",Menu!C33)</f>
        <v/>
      </c>
      <c r="H44" s="37"/>
      <c r="I44" s="37"/>
    </row>
    <row r="45" spans="1:10" x14ac:dyDescent="0.2">
      <c r="A45" s="173" t="str">
        <f>IF(Menu!B34="","",Menu!B34)</f>
        <v/>
      </c>
      <c r="B45" s="176" t="str">
        <f>IF(Menu!C34="","",Menu!C34)</f>
        <v/>
      </c>
      <c r="H45" s="37"/>
      <c r="I45" s="37"/>
    </row>
    <row r="46" spans="1:10" x14ac:dyDescent="0.2">
      <c r="A46" s="173" t="str">
        <f>IF(Menu!B35="","",Menu!B35)</f>
        <v/>
      </c>
      <c r="B46" s="176" t="str">
        <f>IF(Menu!C35="","",Menu!C35)</f>
        <v/>
      </c>
      <c r="H46" s="37"/>
      <c r="I46" s="37"/>
    </row>
    <row r="47" spans="1:10" x14ac:dyDescent="0.2">
      <c r="A47" s="173" t="str">
        <f>IF(Menu!B36="","",Menu!B36)</f>
        <v/>
      </c>
      <c r="B47" s="176" t="str">
        <f>IF(Menu!C36="","",Menu!C36)</f>
        <v/>
      </c>
      <c r="H47" s="37"/>
      <c r="I47" s="37"/>
    </row>
    <row r="48" spans="1:10" x14ac:dyDescent="0.2">
      <c r="A48" s="173" t="str">
        <f>IF(Menu!B37="","",Menu!B37)</f>
        <v/>
      </c>
      <c r="B48" s="176" t="str">
        <f>IF(Menu!C37="","",Menu!C37)</f>
        <v/>
      </c>
      <c r="H48" s="37"/>
      <c r="I48" s="37"/>
    </row>
    <row r="49" spans="1:10" x14ac:dyDescent="0.2">
      <c r="A49" s="173" t="str">
        <f>IF(Menu!B38="","",Menu!B38)</f>
        <v/>
      </c>
      <c r="B49" s="176" t="str">
        <f>IF(Menu!C38="","",Menu!C38)</f>
        <v/>
      </c>
      <c r="H49" s="37"/>
      <c r="I49" s="37"/>
    </row>
    <row r="50" spans="1:10" x14ac:dyDescent="0.2">
      <c r="A50" s="173" t="str">
        <f>IF(Menu!B39="","",Menu!B39)</f>
        <v/>
      </c>
      <c r="B50" s="176" t="str">
        <f>IF(Menu!C39="","",Menu!C39)</f>
        <v/>
      </c>
      <c r="H50" s="37"/>
      <c r="I50" s="37"/>
    </row>
    <row r="51" spans="1:10" x14ac:dyDescent="0.2">
      <c r="A51" s="173" t="str">
        <f>IF(Menu!B40="","",Menu!B40)</f>
        <v/>
      </c>
      <c r="B51" s="176" t="str">
        <f>IF(Menu!C40="","",Menu!C40)</f>
        <v/>
      </c>
      <c r="H51" s="37"/>
      <c r="I51" s="37"/>
    </row>
    <row r="52" spans="1:10" x14ac:dyDescent="0.2">
      <c r="A52" s="173" t="str">
        <f>IF(Menu!B41="","",Menu!B41)</f>
        <v/>
      </c>
      <c r="B52" s="176" t="str">
        <f>IF(Menu!C41="","",Menu!C41)</f>
        <v/>
      </c>
      <c r="H52" s="37"/>
      <c r="I52" s="37"/>
    </row>
    <row r="53" spans="1:10" x14ac:dyDescent="0.2">
      <c r="A53" s="173" t="str">
        <f>IF(Menu!B42="","",Menu!B42)</f>
        <v/>
      </c>
      <c r="B53" s="176" t="str">
        <f>IF(Menu!C42="","",Menu!C42)</f>
        <v/>
      </c>
      <c r="H53" s="37"/>
      <c r="I53" s="37"/>
    </row>
    <row r="54" spans="1:10" x14ac:dyDescent="0.2">
      <c r="A54" s="173" t="str">
        <f>IF(Menu!B43="","",Menu!B43)</f>
        <v/>
      </c>
      <c r="B54" s="176" t="str">
        <f>IF(Menu!C43="","",Menu!C43)</f>
        <v/>
      </c>
      <c r="H54" s="37"/>
      <c r="I54" s="37"/>
    </row>
    <row r="55" spans="1:10" x14ac:dyDescent="0.2">
      <c r="A55" s="36" t="s">
        <v>63</v>
      </c>
      <c r="B55" s="172">
        <f>SUM(B31:B45)</f>
        <v>29</v>
      </c>
      <c r="H55" s="33"/>
      <c r="J55" s="32"/>
    </row>
    <row r="56" spans="1:10" ht="13.5" thickBot="1" x14ac:dyDescent="0.25">
      <c r="A56" s="35" t="s">
        <v>62</v>
      </c>
      <c r="B56" s="34">
        <f>ROUND(AVERAGE(B31:B45),0)</f>
        <v>5</v>
      </c>
      <c r="H56" s="33"/>
      <c r="J56" s="32"/>
    </row>
    <row r="57" spans="1:10" x14ac:dyDescent="0.2">
      <c r="H57" s="33"/>
      <c r="J57" s="32"/>
    </row>
    <row r="58" spans="1:10" x14ac:dyDescent="0.2">
      <c r="J58" s="31"/>
    </row>
    <row r="59" spans="1:10" x14ac:dyDescent="0.2">
      <c r="A59" s="30"/>
    </row>
  </sheetData>
  <mergeCells count="15">
    <mergeCell ref="H19:H20"/>
    <mergeCell ref="I19:I20"/>
    <mergeCell ref="H18:L18"/>
    <mergeCell ref="H26:H27"/>
    <mergeCell ref="I26:I27"/>
    <mergeCell ref="H25:L25"/>
    <mergeCell ref="A19:F19"/>
    <mergeCell ref="A20:A21"/>
    <mergeCell ref="B20:B21"/>
    <mergeCell ref="A7:F7"/>
    <mergeCell ref="A1:F1"/>
    <mergeCell ref="A2:F2"/>
    <mergeCell ref="A3:F3"/>
    <mergeCell ref="B8:B9"/>
    <mergeCell ref="A8:A9"/>
  </mergeCells>
  <printOptions horizontalCentered="1"/>
  <pageMargins left="0.75" right="0.75" top="1" bottom="0.44" header="0.17" footer="0.19"/>
  <pageSetup scale="89" orientation="portrait" r:id="rId1"/>
  <headerFooter alignWithMargins="0">
    <oddHeader xml:space="preserve">&amp;C&amp;"Arial,Bold"&amp;14 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0.39997558519241921"/>
  </sheetPr>
  <dimension ref="A1:Q26"/>
  <sheetViews>
    <sheetView showGridLines="0" zoomScale="110" zoomScaleNormal="110" workbookViewId="0">
      <selection activeCell="M7" sqref="M7"/>
    </sheetView>
  </sheetViews>
  <sheetFormatPr defaultRowHeight="12.75" x14ac:dyDescent="0.2"/>
  <cols>
    <col min="1" max="1" width="9.140625" style="25"/>
    <col min="2" max="2" width="29.42578125" style="25" customWidth="1"/>
    <col min="3" max="3" width="9" style="25" customWidth="1"/>
    <col min="4" max="5" width="6.85546875" style="25" customWidth="1"/>
    <col min="6" max="6" width="6" style="25" customWidth="1"/>
    <col min="7" max="7" width="2" style="25" customWidth="1"/>
    <col min="8" max="8" width="5.85546875" style="25" customWidth="1"/>
    <col min="9" max="9" width="6.140625" style="25" customWidth="1"/>
    <col min="10" max="10" width="4.85546875" style="25" customWidth="1"/>
    <col min="11" max="11" width="2.85546875" style="25" customWidth="1"/>
    <col min="12" max="12" width="1.5703125" style="25" customWidth="1"/>
    <col min="13" max="14" width="5.5703125" style="25" customWidth="1"/>
    <col min="15" max="15" width="9.140625" style="25"/>
    <col min="16" max="16" width="2.28515625" style="25" customWidth="1"/>
    <col min="17" max="17" width="9.28515625" style="25" bestFit="1" customWidth="1"/>
    <col min="18" max="16384" width="9.140625" style="25"/>
  </cols>
  <sheetData>
    <row r="1" spans="1:17" ht="4.5" customHeight="1" x14ac:dyDescent="0.2">
      <c r="A1" s="295" t="s">
        <v>86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7"/>
    </row>
    <row r="2" spans="1:17" x14ac:dyDescent="0.2">
      <c r="A2" s="298"/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300"/>
    </row>
    <row r="3" spans="1:17" ht="10.5" customHeight="1" thickBot="1" x14ac:dyDescent="0.25">
      <c r="A3" s="80" t="s">
        <v>87</v>
      </c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2"/>
    </row>
    <row r="4" spans="1:17" ht="8.25" customHeight="1" thickTop="1" x14ac:dyDescent="0.2">
      <c r="A4" s="278" t="s">
        <v>88</v>
      </c>
      <c r="B4" s="301"/>
      <c r="C4" s="278" t="s">
        <v>89</v>
      </c>
      <c r="D4" s="279"/>
      <c r="E4" s="83"/>
      <c r="F4" s="84"/>
      <c r="G4" s="85" t="s">
        <v>90</v>
      </c>
      <c r="H4" s="86"/>
      <c r="I4" s="87"/>
      <c r="J4" s="302" t="s">
        <v>91</v>
      </c>
      <c r="K4" s="279" t="s">
        <v>92</v>
      </c>
      <c r="L4" s="279"/>
      <c r="M4" s="301" t="s">
        <v>93</v>
      </c>
    </row>
    <row r="5" spans="1:17" ht="15" customHeight="1" thickBot="1" x14ac:dyDescent="0.25">
      <c r="A5" s="303" t="e">
        <f>'Water Sewer Calc'!A3</f>
        <v>#N/A</v>
      </c>
      <c r="B5" s="304"/>
      <c r="C5" s="305"/>
      <c r="D5" s="306"/>
      <c r="E5" s="306"/>
      <c r="F5" s="307"/>
      <c r="G5" s="308">
        <f ca="1">TODAY()</f>
        <v>43343</v>
      </c>
      <c r="H5" s="306"/>
      <c r="I5" s="309"/>
      <c r="J5" s="310"/>
      <c r="K5" s="311"/>
      <c r="L5" s="312"/>
      <c r="M5" s="313"/>
    </row>
    <row r="6" spans="1:17" ht="9" customHeight="1" thickTop="1" x14ac:dyDescent="0.2">
      <c r="A6" s="280" t="s">
        <v>94</v>
      </c>
      <c r="B6" s="281"/>
      <c r="C6" s="281"/>
      <c r="D6" s="281"/>
      <c r="E6" s="88"/>
      <c r="F6" s="88"/>
      <c r="G6" s="26"/>
      <c r="H6" s="89"/>
      <c r="I6" s="90" t="s">
        <v>95</v>
      </c>
      <c r="J6" s="282" t="s">
        <v>96</v>
      </c>
      <c r="K6" s="283"/>
      <c r="L6" s="283"/>
      <c r="M6" s="284"/>
    </row>
    <row r="7" spans="1:17" ht="18.75" customHeight="1" x14ac:dyDescent="0.2">
      <c r="A7" s="285" t="e">
        <f>'Water Sewer Calc'!A1</f>
        <v>#N/A</v>
      </c>
      <c r="B7" s="286"/>
      <c r="C7" s="286"/>
      <c r="D7" s="286"/>
      <c r="E7" s="286"/>
      <c r="F7" s="286"/>
      <c r="G7" s="287"/>
      <c r="H7" s="91" t="s">
        <v>84</v>
      </c>
      <c r="I7" s="92" t="e">
        <f>VLOOKUP(CustRef,CustRefRep,23,FALSE)</f>
        <v>#N/A</v>
      </c>
      <c r="J7" s="291">
        <f>TRUNC('Water Sewer Calc'!F17,0)</f>
        <v>0</v>
      </c>
      <c r="K7" s="292"/>
      <c r="L7" s="293"/>
      <c r="M7" s="93">
        <f>'Water Sewer Calc'!F17-DR!J7</f>
        <v>0</v>
      </c>
      <c r="O7" s="94">
        <f>J7+M7</f>
        <v>0</v>
      </c>
    </row>
    <row r="8" spans="1:17" ht="9.75" customHeight="1" x14ac:dyDescent="0.2">
      <c r="A8" s="288"/>
      <c r="B8" s="289"/>
      <c r="C8" s="289"/>
      <c r="D8" s="289"/>
      <c r="E8" s="289"/>
      <c r="F8" s="289"/>
      <c r="G8" s="290"/>
      <c r="H8" s="270" t="s">
        <v>98</v>
      </c>
      <c r="I8" s="294"/>
      <c r="J8" s="244"/>
      <c r="K8" s="245"/>
      <c r="L8" s="246"/>
      <c r="M8" s="256"/>
      <c r="O8" s="266">
        <f>J8+M8</f>
        <v>0</v>
      </c>
    </row>
    <row r="9" spans="1:17" ht="8.25" customHeight="1" x14ac:dyDescent="0.2">
      <c r="A9" s="268" t="s">
        <v>99</v>
      </c>
      <c r="B9" s="269"/>
      <c r="C9" s="269"/>
      <c r="D9" s="269"/>
      <c r="E9" s="88"/>
      <c r="F9" s="88"/>
      <c r="G9" s="26"/>
      <c r="H9" s="271"/>
      <c r="I9" s="273"/>
      <c r="J9" s="274"/>
      <c r="K9" s="275"/>
      <c r="L9" s="276"/>
      <c r="M9" s="277"/>
      <c r="O9" s="267"/>
    </row>
    <row r="10" spans="1:17" ht="15" customHeight="1" thickBot="1" x14ac:dyDescent="0.25">
      <c r="A10" s="238" t="e">
        <f>'Water Sewer Calc'!A2</f>
        <v>#N/A</v>
      </c>
      <c r="B10" s="248"/>
      <c r="C10" s="248"/>
      <c r="D10" s="248"/>
      <c r="E10" s="248"/>
      <c r="F10" s="248"/>
      <c r="G10" s="239"/>
      <c r="H10" s="270" t="s">
        <v>77</v>
      </c>
      <c r="I10" s="272" t="e">
        <f>VLOOKUP(CustRef,CustRefRep,24,FALSE)</f>
        <v>#N/A</v>
      </c>
      <c r="J10" s="244">
        <f>TRUNC('Water Sewer Calc'!F27,0)</f>
        <v>0</v>
      </c>
      <c r="K10" s="245"/>
      <c r="L10" s="246"/>
      <c r="M10" s="256">
        <f>'Water Sewer Calc'!F27-DR!J10</f>
        <v>0</v>
      </c>
      <c r="O10" s="266">
        <f>J10+M10</f>
        <v>0</v>
      </c>
    </row>
    <row r="11" spans="1:17" ht="8.25" customHeight="1" thickTop="1" x14ac:dyDescent="0.2">
      <c r="A11" s="278" t="s">
        <v>101</v>
      </c>
      <c r="B11" s="279"/>
      <c r="C11" s="26"/>
      <c r="D11" s="26"/>
      <c r="E11" s="26"/>
      <c r="F11" s="26"/>
      <c r="G11" s="26"/>
      <c r="H11" s="271"/>
      <c r="I11" s="273" t="e">
        <f>VLOOKUP(CustRef,CustRefRep,23,FALSE)</f>
        <v>#N/A</v>
      </c>
      <c r="J11" s="274"/>
      <c r="K11" s="275"/>
      <c r="L11" s="276"/>
      <c r="M11" s="277"/>
      <c r="O11" s="267"/>
    </row>
    <row r="12" spans="1:17" ht="18.75" customHeight="1" x14ac:dyDescent="0.2">
      <c r="A12" s="258" t="e">
        <f>CONCATENATE("Meter dead; replaced ",TEXT(Checklist!B12,"mm/dd/yy"))</f>
        <v>#N/A</v>
      </c>
      <c r="B12" s="259"/>
      <c r="C12" s="259"/>
      <c r="D12" s="259"/>
      <c r="E12" s="259"/>
      <c r="F12" s="259"/>
      <c r="G12" s="260"/>
      <c r="H12" s="95" t="s">
        <v>102</v>
      </c>
      <c r="I12" s="96"/>
      <c r="J12" s="244"/>
      <c r="K12" s="245"/>
      <c r="L12" s="246"/>
      <c r="M12" s="93"/>
      <c r="O12" s="97">
        <f>J12+M12</f>
        <v>0</v>
      </c>
    </row>
    <row r="13" spans="1:17" ht="19.5" customHeight="1" x14ac:dyDescent="0.2">
      <c r="A13" s="261" t="e">
        <f>CONCATENATE("Backbill water and sewer for ",'Water Sewer Calc'!I11, " - ",'Water Sewer Calc'!I12)</f>
        <v>#N/A</v>
      </c>
      <c r="B13" s="241"/>
      <c r="C13" s="241"/>
      <c r="D13" s="241"/>
      <c r="E13" s="241"/>
      <c r="F13" s="241"/>
      <c r="G13" s="262"/>
      <c r="H13" s="95" t="s">
        <v>103</v>
      </c>
      <c r="I13" s="96"/>
      <c r="J13" s="244"/>
      <c r="K13" s="245"/>
      <c r="L13" s="246"/>
      <c r="M13" s="93"/>
      <c r="O13" s="97">
        <f>J13+M13</f>
        <v>0</v>
      </c>
    </row>
    <row r="14" spans="1:17" ht="18" customHeight="1" x14ac:dyDescent="0.2">
      <c r="A14" s="263"/>
      <c r="B14" s="264"/>
      <c r="C14" s="264"/>
      <c r="D14" s="264"/>
      <c r="E14" s="264"/>
      <c r="F14" s="264"/>
      <c r="G14" s="265"/>
      <c r="H14" s="95" t="s">
        <v>104</v>
      </c>
      <c r="I14" s="96"/>
      <c r="J14" s="244"/>
      <c r="K14" s="245"/>
      <c r="L14" s="246"/>
      <c r="M14" s="93"/>
      <c r="O14" s="97">
        <f>J14+M14</f>
        <v>0</v>
      </c>
    </row>
    <row r="15" spans="1:17" ht="19.5" customHeight="1" thickBot="1" x14ac:dyDescent="0.25">
      <c r="A15" s="240"/>
      <c r="B15" s="241"/>
      <c r="C15" s="241"/>
      <c r="D15" s="242"/>
      <c r="E15" s="242"/>
      <c r="F15" s="242"/>
      <c r="G15" s="243"/>
      <c r="H15" s="95" t="s">
        <v>105</v>
      </c>
      <c r="I15" s="96"/>
      <c r="J15" s="244"/>
      <c r="K15" s="245"/>
      <c r="L15" s="246"/>
      <c r="M15" s="93"/>
      <c r="O15" s="98">
        <f>J15+M15</f>
        <v>0</v>
      </c>
    </row>
    <row r="16" spans="1:17" ht="8.25" customHeight="1" thickTop="1" x14ac:dyDescent="0.2">
      <c r="A16" s="247" t="str">
        <f>CONCATENATE("RA-",RAIndex)</f>
        <v>RA-</v>
      </c>
      <c r="B16" s="242"/>
      <c r="C16" s="243"/>
      <c r="D16" s="99" t="s">
        <v>106</v>
      </c>
      <c r="E16" s="100" t="s">
        <v>107</v>
      </c>
      <c r="F16" s="83" t="s">
        <v>107</v>
      </c>
      <c r="G16" s="101"/>
      <c r="H16" s="249" t="s">
        <v>108</v>
      </c>
      <c r="I16" s="250"/>
      <c r="J16" s="244">
        <f>TRUNC(SUM(J7:M15),0)</f>
        <v>0</v>
      </c>
      <c r="K16" s="245"/>
      <c r="L16" s="246"/>
      <c r="M16" s="256">
        <f>SUM(J7:M15)-J16</f>
        <v>0</v>
      </c>
      <c r="O16" s="234">
        <f>SUM(O7:O15)</f>
        <v>0</v>
      </c>
      <c r="Q16" s="236">
        <f>J16+M16</f>
        <v>0</v>
      </c>
    </row>
    <row r="17" spans="1:17" ht="12" customHeight="1" thickBot="1" x14ac:dyDescent="0.25">
      <c r="A17" s="238"/>
      <c r="B17" s="248"/>
      <c r="C17" s="239"/>
      <c r="D17" s="102" t="s">
        <v>109</v>
      </c>
      <c r="E17" s="103"/>
      <c r="F17" s="238"/>
      <c r="G17" s="239"/>
      <c r="H17" s="251"/>
      <c r="I17" s="252"/>
      <c r="J17" s="253"/>
      <c r="K17" s="254"/>
      <c r="L17" s="255"/>
      <c r="M17" s="257"/>
      <c r="O17" s="235"/>
      <c r="Q17" s="237"/>
    </row>
    <row r="18" spans="1:17" s="26" customFormat="1" ht="21" customHeight="1" thickTop="1" x14ac:dyDescent="0.2">
      <c r="A18" s="104" t="s">
        <v>110</v>
      </c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6"/>
    </row>
    <row r="19" spans="1:17" s="26" customFormat="1" x14ac:dyDescent="0.2">
      <c r="A19" s="107"/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</row>
    <row r="20" spans="1:17" s="26" customFormat="1" x14ac:dyDescent="0.2"/>
    <row r="22" spans="1:17" x14ac:dyDescent="0.2">
      <c r="A22" s="108" t="s">
        <v>111</v>
      </c>
    </row>
    <row r="23" spans="1:17" x14ac:dyDescent="0.2">
      <c r="A23" s="25" t="s">
        <v>112</v>
      </c>
    </row>
    <row r="24" spans="1:17" x14ac:dyDescent="0.2">
      <c r="A24" s="25" t="s">
        <v>113</v>
      </c>
    </row>
    <row r="25" spans="1:17" x14ac:dyDescent="0.2">
      <c r="A25" s="25" t="s">
        <v>114</v>
      </c>
    </row>
    <row r="26" spans="1:17" x14ac:dyDescent="0.2">
      <c r="A26" s="25" t="s">
        <v>115</v>
      </c>
    </row>
  </sheetData>
  <mergeCells count="42">
    <mergeCell ref="A5:B5"/>
    <mergeCell ref="C5:F5"/>
    <mergeCell ref="G5:I5"/>
    <mergeCell ref="J5:K5"/>
    <mergeCell ref="L5:M5"/>
    <mergeCell ref="A1:M2"/>
    <mergeCell ref="A4:B4"/>
    <mergeCell ref="C4:D4"/>
    <mergeCell ref="J4:K4"/>
    <mergeCell ref="L4:M4"/>
    <mergeCell ref="A6:D6"/>
    <mergeCell ref="J6:M6"/>
    <mergeCell ref="A7:G8"/>
    <mergeCell ref="J7:L7"/>
    <mergeCell ref="H8:H9"/>
    <mergeCell ref="I8:I9"/>
    <mergeCell ref="J8:L9"/>
    <mergeCell ref="M8:M9"/>
    <mergeCell ref="O8:O9"/>
    <mergeCell ref="A9:D9"/>
    <mergeCell ref="A10:G10"/>
    <mergeCell ref="H10:H11"/>
    <mergeCell ref="I10:I11"/>
    <mergeCell ref="J10:L11"/>
    <mergeCell ref="M10:M11"/>
    <mergeCell ref="O10:O11"/>
    <mergeCell ref="A11:B11"/>
    <mergeCell ref="A12:G12"/>
    <mergeCell ref="J12:L12"/>
    <mergeCell ref="A13:G13"/>
    <mergeCell ref="J13:L13"/>
    <mergeCell ref="A14:G14"/>
    <mergeCell ref="J14:L14"/>
    <mergeCell ref="O16:O17"/>
    <mergeCell ref="Q16:Q17"/>
    <mergeCell ref="F17:G17"/>
    <mergeCell ref="A15:G15"/>
    <mergeCell ref="J15:L15"/>
    <mergeCell ref="A16:C17"/>
    <mergeCell ref="H16:I17"/>
    <mergeCell ref="J16:L17"/>
    <mergeCell ref="M16:M17"/>
  </mergeCells>
  <pageMargins left="0" right="0.25" top="0" bottom="0.25" header="0.5" footer="0.5"/>
  <pageSetup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99FF"/>
  </sheetPr>
  <dimension ref="A1:P26"/>
  <sheetViews>
    <sheetView zoomScale="110" zoomScaleNormal="110" workbookViewId="0">
      <selection activeCell="G12" sqref="G12"/>
    </sheetView>
  </sheetViews>
  <sheetFormatPr defaultRowHeight="12.75" x14ac:dyDescent="0.2"/>
  <cols>
    <col min="1" max="1" width="9.140625" style="25"/>
    <col min="2" max="2" width="29.42578125" style="25" customWidth="1"/>
    <col min="3" max="3" width="9" style="25" customWidth="1"/>
    <col min="4" max="4" width="6.28515625" style="25" customWidth="1"/>
    <col min="5" max="6" width="6" style="25" customWidth="1"/>
    <col min="7" max="7" width="5.85546875" style="25" customWidth="1"/>
    <col min="8" max="8" width="6.140625" style="25" customWidth="1"/>
    <col min="9" max="9" width="4.85546875" style="25" customWidth="1"/>
    <col min="10" max="10" width="2.85546875" style="25" customWidth="1"/>
    <col min="11" max="11" width="1.5703125" style="25" customWidth="1"/>
    <col min="12" max="13" width="5.5703125" style="25" customWidth="1"/>
    <col min="14" max="14" width="9.140625" style="25"/>
    <col min="15" max="15" width="2.28515625" style="25" customWidth="1"/>
    <col min="16" max="16" width="9.28515625" style="25" bestFit="1" customWidth="1"/>
    <col min="17" max="16384" width="9.140625" style="25"/>
  </cols>
  <sheetData>
    <row r="1" spans="1:16" ht="4.5" customHeight="1" x14ac:dyDescent="0.2">
      <c r="A1" s="323" t="s">
        <v>86</v>
      </c>
      <c r="B1" s="324"/>
      <c r="C1" s="324"/>
      <c r="D1" s="324"/>
      <c r="E1" s="324"/>
      <c r="F1" s="324"/>
      <c r="G1" s="324"/>
      <c r="H1" s="324"/>
      <c r="I1" s="324"/>
      <c r="J1" s="324"/>
      <c r="K1" s="324"/>
      <c r="L1" s="325"/>
    </row>
    <row r="2" spans="1:16" x14ac:dyDescent="0.2">
      <c r="A2" s="326"/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8"/>
    </row>
    <row r="3" spans="1:16" ht="10.5" customHeight="1" thickBot="1" x14ac:dyDescent="0.25">
      <c r="A3" s="109" t="s">
        <v>116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1"/>
    </row>
    <row r="4" spans="1:16" ht="8.25" customHeight="1" thickTop="1" x14ac:dyDescent="0.2">
      <c r="A4" s="278" t="s">
        <v>88</v>
      </c>
      <c r="B4" s="301"/>
      <c r="C4" s="278" t="s">
        <v>89</v>
      </c>
      <c r="D4" s="279"/>
      <c r="E4" s="83"/>
      <c r="F4" s="84"/>
      <c r="G4" s="85" t="s">
        <v>90</v>
      </c>
      <c r="H4" s="87"/>
      <c r="I4" s="302" t="s">
        <v>117</v>
      </c>
      <c r="J4" s="279"/>
      <c r="K4" s="279" t="s">
        <v>91</v>
      </c>
      <c r="L4" s="301"/>
    </row>
    <row r="5" spans="1:16" ht="15" customHeight="1" thickBot="1" x14ac:dyDescent="0.25">
      <c r="A5" s="305"/>
      <c r="B5" s="307"/>
      <c r="C5" s="305"/>
      <c r="D5" s="306"/>
      <c r="E5" s="306"/>
      <c r="F5" s="307"/>
      <c r="G5" s="329"/>
      <c r="H5" s="330"/>
      <c r="I5" s="310"/>
      <c r="J5" s="311"/>
      <c r="K5" s="312"/>
      <c r="L5" s="313"/>
    </row>
    <row r="6" spans="1:16" ht="9" customHeight="1" thickTop="1" x14ac:dyDescent="0.2">
      <c r="A6" s="280" t="s">
        <v>94</v>
      </c>
      <c r="B6" s="281"/>
      <c r="C6" s="281"/>
      <c r="D6" s="281"/>
      <c r="E6" s="88"/>
      <c r="F6" s="88"/>
      <c r="G6" s="89"/>
      <c r="H6" s="90" t="s">
        <v>95</v>
      </c>
      <c r="I6" s="282" t="s">
        <v>96</v>
      </c>
      <c r="J6" s="283"/>
      <c r="K6" s="283"/>
      <c r="L6" s="284"/>
    </row>
    <row r="7" spans="1:16" ht="18.75" customHeight="1" x14ac:dyDescent="0.2">
      <c r="A7" s="285"/>
      <c r="B7" s="286"/>
      <c r="C7" s="286"/>
      <c r="D7" s="286"/>
      <c r="E7" s="286"/>
      <c r="F7" s="286"/>
      <c r="G7" s="91" t="s">
        <v>84</v>
      </c>
      <c r="H7" s="112"/>
      <c r="I7" s="291"/>
      <c r="J7" s="292"/>
      <c r="K7" s="293"/>
      <c r="L7" s="93"/>
      <c r="N7" s="94">
        <f>I7+L7</f>
        <v>0</v>
      </c>
    </row>
    <row r="8" spans="1:16" ht="9.75" customHeight="1" x14ac:dyDescent="0.2">
      <c r="A8" s="288"/>
      <c r="B8" s="289"/>
      <c r="C8" s="289"/>
      <c r="D8" s="289"/>
      <c r="E8" s="289"/>
      <c r="F8" s="289"/>
      <c r="G8" s="270" t="s">
        <v>77</v>
      </c>
      <c r="H8" s="321"/>
      <c r="I8" s="244"/>
      <c r="J8" s="245"/>
      <c r="K8" s="246"/>
      <c r="L8" s="256"/>
      <c r="N8" s="319">
        <f>I8+L8</f>
        <v>0</v>
      </c>
    </row>
    <row r="9" spans="1:16" ht="8.25" customHeight="1" x14ac:dyDescent="0.2">
      <c r="A9" s="268" t="s">
        <v>99</v>
      </c>
      <c r="B9" s="269"/>
      <c r="C9" s="269"/>
      <c r="D9" s="269"/>
      <c r="E9" s="88"/>
      <c r="F9" s="88"/>
      <c r="G9" s="271"/>
      <c r="H9" s="322"/>
      <c r="I9" s="274"/>
      <c r="J9" s="275"/>
      <c r="K9" s="276"/>
      <c r="L9" s="277"/>
      <c r="N9" s="320"/>
    </row>
    <row r="10" spans="1:16" ht="15" customHeight="1" thickBot="1" x14ac:dyDescent="0.25">
      <c r="A10" s="238"/>
      <c r="B10" s="248"/>
      <c r="C10" s="248"/>
      <c r="D10" s="248"/>
      <c r="E10" s="248"/>
      <c r="F10" s="248"/>
      <c r="G10" s="270" t="s">
        <v>77</v>
      </c>
      <c r="H10" s="321"/>
      <c r="I10" s="244"/>
      <c r="J10" s="245"/>
      <c r="K10" s="246"/>
      <c r="L10" s="256"/>
      <c r="N10" s="266">
        <f>I10+L10</f>
        <v>0</v>
      </c>
    </row>
    <row r="11" spans="1:16" ht="8.25" customHeight="1" thickTop="1" x14ac:dyDescent="0.2">
      <c r="A11" s="278" t="s">
        <v>118</v>
      </c>
      <c r="B11" s="279"/>
      <c r="C11" s="26"/>
      <c r="D11" s="26"/>
      <c r="E11" s="26"/>
      <c r="F11" s="26"/>
      <c r="G11" s="271"/>
      <c r="H11" s="322"/>
      <c r="I11" s="274"/>
      <c r="J11" s="275"/>
      <c r="K11" s="276"/>
      <c r="L11" s="277"/>
      <c r="N11" s="320"/>
    </row>
    <row r="12" spans="1:16" ht="18.75" customHeight="1" x14ac:dyDescent="0.2">
      <c r="A12" s="305"/>
      <c r="B12" s="306"/>
      <c r="C12" s="306"/>
      <c r="D12" s="306"/>
      <c r="E12" s="306"/>
      <c r="F12" s="306"/>
      <c r="G12" s="95" t="s">
        <v>102</v>
      </c>
      <c r="H12" s="96"/>
      <c r="I12" s="244"/>
      <c r="J12" s="245"/>
      <c r="K12" s="246"/>
      <c r="L12" s="93"/>
      <c r="N12" s="97">
        <f>I12+L12</f>
        <v>0</v>
      </c>
    </row>
    <row r="13" spans="1:16" ht="19.5" customHeight="1" x14ac:dyDescent="0.2">
      <c r="A13" s="240"/>
      <c r="B13" s="241"/>
      <c r="C13" s="241"/>
      <c r="D13" s="241"/>
      <c r="E13" s="241"/>
      <c r="F13" s="241"/>
      <c r="G13" s="95" t="s">
        <v>103</v>
      </c>
      <c r="H13" s="96"/>
      <c r="I13" s="244"/>
      <c r="J13" s="245"/>
      <c r="K13" s="246"/>
      <c r="L13" s="93"/>
      <c r="N13" s="97">
        <f>I13+L13</f>
        <v>0</v>
      </c>
    </row>
    <row r="14" spans="1:16" ht="18" customHeight="1" x14ac:dyDescent="0.2">
      <c r="A14" s="240"/>
      <c r="B14" s="241"/>
      <c r="C14" s="241"/>
      <c r="D14" s="241"/>
      <c r="E14" s="241"/>
      <c r="F14" s="262"/>
      <c r="G14" s="95" t="s">
        <v>104</v>
      </c>
      <c r="H14" s="96"/>
      <c r="I14" s="244"/>
      <c r="J14" s="245"/>
      <c r="K14" s="246"/>
      <c r="L14" s="93"/>
      <c r="N14" s="97">
        <f>I14+L14</f>
        <v>0</v>
      </c>
    </row>
    <row r="15" spans="1:16" ht="19.5" customHeight="1" thickBot="1" x14ac:dyDescent="0.25">
      <c r="A15" s="315"/>
      <c r="B15" s="316"/>
      <c r="C15" s="316"/>
      <c r="D15" s="316"/>
      <c r="E15" s="316"/>
      <c r="F15" s="317"/>
      <c r="G15" s="95" t="s">
        <v>105</v>
      </c>
      <c r="H15" s="96"/>
      <c r="I15" s="244"/>
      <c r="J15" s="245"/>
      <c r="K15" s="246"/>
      <c r="L15" s="93"/>
      <c r="N15" s="98">
        <f>I15+L15</f>
        <v>0</v>
      </c>
    </row>
    <row r="16" spans="1:16" ht="8.25" customHeight="1" thickTop="1" x14ac:dyDescent="0.2">
      <c r="A16" s="318" t="s">
        <v>119</v>
      </c>
      <c r="B16" s="242"/>
      <c r="C16" s="243"/>
      <c r="D16" s="99" t="s">
        <v>106</v>
      </c>
      <c r="E16" s="100" t="s">
        <v>107</v>
      </c>
      <c r="F16" s="83" t="s">
        <v>107</v>
      </c>
      <c r="G16" s="249" t="s">
        <v>108</v>
      </c>
      <c r="H16" s="250"/>
      <c r="I16" s="244"/>
      <c r="J16" s="245"/>
      <c r="K16" s="246"/>
      <c r="L16" s="256"/>
      <c r="N16" s="234">
        <f>SUM(N7:N15)</f>
        <v>0</v>
      </c>
      <c r="P16" s="236">
        <f>I16+L16</f>
        <v>0</v>
      </c>
    </row>
    <row r="17" spans="1:16" ht="12" customHeight="1" thickBot="1" x14ac:dyDescent="0.25">
      <c r="A17" s="238"/>
      <c r="B17" s="248"/>
      <c r="C17" s="239"/>
      <c r="D17" s="113"/>
      <c r="E17" s="103"/>
      <c r="F17" s="114"/>
      <c r="G17" s="251"/>
      <c r="H17" s="252"/>
      <c r="I17" s="253"/>
      <c r="J17" s="254"/>
      <c r="K17" s="255"/>
      <c r="L17" s="257"/>
      <c r="N17" s="314"/>
      <c r="P17" s="237"/>
    </row>
    <row r="18" spans="1:16" s="26" customFormat="1" ht="21" customHeight="1" thickTop="1" x14ac:dyDescent="0.2">
      <c r="A18" s="104" t="s">
        <v>120</v>
      </c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6"/>
    </row>
    <row r="19" spans="1:16" s="26" customFormat="1" x14ac:dyDescent="0.2"/>
    <row r="20" spans="1:16" s="26" customFormat="1" x14ac:dyDescent="0.2"/>
    <row r="22" spans="1:16" x14ac:dyDescent="0.2">
      <c r="A22" s="108" t="s">
        <v>111</v>
      </c>
    </row>
    <row r="23" spans="1:16" x14ac:dyDescent="0.2">
      <c r="A23" s="25" t="s">
        <v>112</v>
      </c>
    </row>
    <row r="24" spans="1:16" x14ac:dyDescent="0.2">
      <c r="A24" s="25" t="s">
        <v>113</v>
      </c>
    </row>
    <row r="25" spans="1:16" x14ac:dyDescent="0.2">
      <c r="A25" s="25" t="s">
        <v>114</v>
      </c>
    </row>
    <row r="26" spans="1:16" x14ac:dyDescent="0.2">
      <c r="A26" s="25" t="s">
        <v>115</v>
      </c>
    </row>
  </sheetData>
  <mergeCells count="41">
    <mergeCell ref="A5:B5"/>
    <mergeCell ref="C5:F5"/>
    <mergeCell ref="G5:H5"/>
    <mergeCell ref="I5:J5"/>
    <mergeCell ref="K5:L5"/>
    <mergeCell ref="A1:L2"/>
    <mergeCell ref="A4:B4"/>
    <mergeCell ref="C4:D4"/>
    <mergeCell ref="I4:J4"/>
    <mergeCell ref="K4:L4"/>
    <mergeCell ref="A6:D6"/>
    <mergeCell ref="I6:L6"/>
    <mergeCell ref="A7:F8"/>
    <mergeCell ref="I7:K7"/>
    <mergeCell ref="G8:G9"/>
    <mergeCell ref="H8:H9"/>
    <mergeCell ref="I8:K9"/>
    <mergeCell ref="L8:L9"/>
    <mergeCell ref="N8:N9"/>
    <mergeCell ref="A9:D9"/>
    <mergeCell ref="A10:F10"/>
    <mergeCell ref="G10:G11"/>
    <mergeCell ref="H10:H11"/>
    <mergeCell ref="I10:K11"/>
    <mergeCell ref="L10:L11"/>
    <mergeCell ref="N10:N11"/>
    <mergeCell ref="A11:B11"/>
    <mergeCell ref="A12:F12"/>
    <mergeCell ref="I12:K12"/>
    <mergeCell ref="A13:F13"/>
    <mergeCell ref="I13:K13"/>
    <mergeCell ref="A14:F14"/>
    <mergeCell ref="I14:K14"/>
    <mergeCell ref="N16:N17"/>
    <mergeCell ref="P16:P17"/>
    <mergeCell ref="A15:F15"/>
    <mergeCell ref="I15:K15"/>
    <mergeCell ref="A16:C17"/>
    <mergeCell ref="G16:H17"/>
    <mergeCell ref="I16:K17"/>
    <mergeCell ref="L16:L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4"/>
  <sheetViews>
    <sheetView workbookViewId="0">
      <selection activeCell="A2" sqref="A2"/>
    </sheetView>
  </sheetViews>
  <sheetFormatPr defaultRowHeight="15" x14ac:dyDescent="0.25"/>
  <cols>
    <col min="1" max="1" width="5" bestFit="1" customWidth="1"/>
    <col min="2" max="2" width="15.140625" bestFit="1" customWidth="1"/>
    <col min="3" max="3" width="16.85546875" bestFit="1" customWidth="1"/>
    <col min="4" max="4" width="19.5703125" bestFit="1" customWidth="1"/>
    <col min="5" max="5" width="16.85546875" bestFit="1" customWidth="1"/>
    <col min="6" max="6" width="8.7109375" bestFit="1" customWidth="1"/>
    <col min="7" max="7" width="8" bestFit="1" customWidth="1"/>
    <col min="8" max="8" width="10.5703125" bestFit="1" customWidth="1"/>
    <col min="9" max="9" width="9.28515625" bestFit="1" customWidth="1"/>
    <col min="10" max="10" width="8.7109375" bestFit="1" customWidth="1"/>
    <col min="11" max="11" width="12.5703125" bestFit="1" customWidth="1"/>
    <col min="12" max="12" width="11" bestFit="1" customWidth="1"/>
    <col min="13" max="13" width="6.28515625" bestFit="1" customWidth="1"/>
    <col min="14" max="14" width="12.85546875" bestFit="1" customWidth="1"/>
    <col min="15" max="15" width="7.7109375" bestFit="1" customWidth="1"/>
  </cols>
  <sheetData>
    <row r="1" spans="1:15" x14ac:dyDescent="0.25">
      <c r="A1" s="185" t="s">
        <v>278</v>
      </c>
      <c r="B1" s="185" t="s">
        <v>7</v>
      </c>
      <c r="C1" s="185" t="s">
        <v>298</v>
      </c>
      <c r="D1" s="185" t="s">
        <v>303</v>
      </c>
      <c r="E1" s="185" t="s">
        <v>304</v>
      </c>
      <c r="F1" s="185" t="s">
        <v>305</v>
      </c>
      <c r="G1" s="185" t="s">
        <v>6</v>
      </c>
      <c r="H1" s="185" t="s">
        <v>283</v>
      </c>
      <c r="I1" s="185" t="s">
        <v>306</v>
      </c>
      <c r="J1" s="185" t="s">
        <v>307</v>
      </c>
      <c r="K1" s="186" t="s">
        <v>308</v>
      </c>
      <c r="L1" s="185" t="s">
        <v>284</v>
      </c>
      <c r="M1" s="185" t="s">
        <v>280</v>
      </c>
      <c r="N1" s="187" t="s">
        <v>66</v>
      </c>
      <c r="O1" s="185" t="s">
        <v>279</v>
      </c>
    </row>
    <row r="2" spans="1:15" x14ac:dyDescent="0.25">
      <c r="A2">
        <v>8091</v>
      </c>
      <c r="B2" t="s">
        <v>325</v>
      </c>
      <c r="C2" t="s">
        <v>328</v>
      </c>
      <c r="D2" t="s">
        <v>327</v>
      </c>
      <c r="E2" t="s">
        <v>326</v>
      </c>
      <c r="F2" t="s">
        <v>324</v>
      </c>
      <c r="G2">
        <v>10877023</v>
      </c>
      <c r="H2" t="s">
        <v>320</v>
      </c>
      <c r="I2" s="188">
        <v>43132</v>
      </c>
      <c r="J2" s="188">
        <v>43313</v>
      </c>
      <c r="K2" s="188">
        <v>43312</v>
      </c>
      <c r="L2" t="s">
        <v>312</v>
      </c>
      <c r="M2">
        <v>5</v>
      </c>
      <c r="N2" s="189">
        <v>341.65</v>
      </c>
      <c r="O2">
        <v>7</v>
      </c>
    </row>
    <row r="3" spans="1:15" x14ac:dyDescent="0.25">
      <c r="I3" s="188"/>
      <c r="J3" s="188"/>
      <c r="K3" s="188"/>
      <c r="N3" s="189"/>
    </row>
    <row r="4" spans="1:15" x14ac:dyDescent="0.25">
      <c r="I4" s="188"/>
      <c r="J4" s="188"/>
      <c r="K4" s="188"/>
      <c r="N4" s="189"/>
    </row>
    <row r="5" spans="1:15" x14ac:dyDescent="0.25">
      <c r="I5" s="188"/>
      <c r="J5" s="188"/>
      <c r="K5" s="188"/>
      <c r="N5" s="189"/>
    </row>
    <row r="6" spans="1:15" x14ac:dyDescent="0.25">
      <c r="I6" s="188"/>
      <c r="J6" s="188"/>
      <c r="K6" s="188"/>
      <c r="N6" s="189"/>
    </row>
    <row r="7" spans="1:15" x14ac:dyDescent="0.25">
      <c r="I7" s="188"/>
      <c r="J7" s="188"/>
      <c r="K7" s="188"/>
    </row>
    <row r="8" spans="1:15" x14ac:dyDescent="0.25">
      <c r="I8" s="188"/>
      <c r="J8" s="188"/>
      <c r="K8" s="188"/>
    </row>
    <row r="9" spans="1:15" x14ac:dyDescent="0.25">
      <c r="I9" s="188"/>
      <c r="J9" s="188"/>
      <c r="K9" s="188"/>
    </row>
    <row r="10" spans="1:15" x14ac:dyDescent="0.25">
      <c r="I10" s="188"/>
      <c r="J10" s="188"/>
      <c r="K10" s="188"/>
    </row>
    <row r="11" spans="1:15" x14ac:dyDescent="0.25">
      <c r="I11" s="188"/>
      <c r="J11" s="188"/>
      <c r="K11" s="188"/>
    </row>
    <row r="12" spans="1:15" x14ac:dyDescent="0.25">
      <c r="I12" s="188"/>
      <c r="J12" s="188"/>
      <c r="K12" s="188"/>
    </row>
    <row r="13" spans="1:15" x14ac:dyDescent="0.25">
      <c r="I13" s="188"/>
      <c r="J13" s="188"/>
      <c r="K13" s="188"/>
    </row>
    <row r="14" spans="1:15" x14ac:dyDescent="0.25">
      <c r="I14" s="188"/>
      <c r="J14" s="188"/>
      <c r="K14" s="188"/>
    </row>
    <row r="15" spans="1:15" x14ac:dyDescent="0.25">
      <c r="I15" s="188"/>
      <c r="J15" s="188"/>
      <c r="K15" s="188"/>
    </row>
    <row r="16" spans="1:15" x14ac:dyDescent="0.25">
      <c r="I16" s="188"/>
      <c r="J16" s="188"/>
      <c r="K16" s="188"/>
    </row>
    <row r="17" spans="9:14" x14ac:dyDescent="0.25">
      <c r="I17" s="188"/>
      <c r="J17" s="188"/>
      <c r="K17" s="188"/>
    </row>
    <row r="19" spans="9:14" x14ac:dyDescent="0.25">
      <c r="I19" s="188"/>
      <c r="J19" s="188"/>
      <c r="K19" s="188"/>
      <c r="N19" s="189"/>
    </row>
    <row r="20" spans="9:14" x14ac:dyDescent="0.25">
      <c r="I20" s="188"/>
      <c r="J20" s="188"/>
      <c r="K20" s="188"/>
      <c r="N20" s="189"/>
    </row>
    <row r="21" spans="9:14" x14ac:dyDescent="0.25">
      <c r="I21" s="188"/>
      <c r="J21" s="188"/>
      <c r="K21" s="188"/>
      <c r="N21" s="189"/>
    </row>
    <row r="22" spans="9:14" x14ac:dyDescent="0.25">
      <c r="I22" s="188"/>
      <c r="J22" s="188"/>
      <c r="K22" s="188"/>
      <c r="N22" s="189"/>
    </row>
    <row r="23" spans="9:14" x14ac:dyDescent="0.25">
      <c r="I23" s="188"/>
      <c r="J23" s="188"/>
      <c r="K23" s="188"/>
      <c r="N23" s="189"/>
    </row>
    <row r="24" spans="9:14" x14ac:dyDescent="0.25">
      <c r="I24" s="188"/>
      <c r="J24" s="188"/>
      <c r="K24" s="188"/>
      <c r="N24" s="18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16"/>
  <sheetViews>
    <sheetView workbookViewId="0">
      <selection sqref="A1:G1048576"/>
    </sheetView>
  </sheetViews>
  <sheetFormatPr defaultRowHeight="12.75" x14ac:dyDescent="0.2"/>
  <cols>
    <col min="1" max="16384" width="9.140625" style="25"/>
  </cols>
  <sheetData>
    <row r="1" spans="1:7" x14ac:dyDescent="0.2">
      <c r="A1" s="25" t="s">
        <v>121</v>
      </c>
      <c r="B1" s="25" t="s">
        <v>122</v>
      </c>
      <c r="C1" s="115">
        <v>43040</v>
      </c>
      <c r="E1" s="25" t="s">
        <v>121</v>
      </c>
      <c r="F1" s="25" t="s">
        <v>122</v>
      </c>
      <c r="G1" s="115">
        <v>42675</v>
      </c>
    </row>
    <row r="2" spans="1:7" x14ac:dyDescent="0.2">
      <c r="A2" s="116" t="s">
        <v>123</v>
      </c>
      <c r="B2" s="117" t="s">
        <v>124</v>
      </c>
      <c r="C2" s="118">
        <v>6.19</v>
      </c>
      <c r="E2" s="116" t="s">
        <v>123</v>
      </c>
      <c r="F2" s="117" t="s">
        <v>124</v>
      </c>
      <c r="G2" s="118">
        <v>5.9</v>
      </c>
    </row>
    <row r="3" spans="1:7" x14ac:dyDescent="0.2">
      <c r="A3" s="119" t="s">
        <v>125</v>
      </c>
      <c r="B3" s="25" t="s">
        <v>126</v>
      </c>
      <c r="C3" s="120">
        <v>10.16</v>
      </c>
      <c r="E3" s="119" t="s">
        <v>125</v>
      </c>
      <c r="F3" s="25" t="s">
        <v>126</v>
      </c>
      <c r="G3" s="120">
        <v>10.16</v>
      </c>
    </row>
    <row r="4" spans="1:7" x14ac:dyDescent="0.2">
      <c r="A4" s="116" t="s">
        <v>127</v>
      </c>
      <c r="B4" s="117" t="s">
        <v>128</v>
      </c>
      <c r="C4" s="118">
        <v>12.77</v>
      </c>
      <c r="E4" s="116" t="s">
        <v>127</v>
      </c>
      <c r="F4" s="117" t="s">
        <v>128</v>
      </c>
      <c r="G4" s="118">
        <v>12.17</v>
      </c>
    </row>
    <row r="5" spans="1:7" x14ac:dyDescent="0.2">
      <c r="A5" s="119" t="s">
        <v>129</v>
      </c>
      <c r="B5" s="25" t="s">
        <v>130</v>
      </c>
      <c r="C5" s="120">
        <v>21.26</v>
      </c>
      <c r="E5" s="119" t="s">
        <v>129</v>
      </c>
      <c r="F5" s="25" t="s">
        <v>130</v>
      </c>
      <c r="G5" s="120">
        <v>17.72</v>
      </c>
    </row>
    <row r="6" spans="1:7" x14ac:dyDescent="0.2">
      <c r="A6" s="116" t="s">
        <v>131</v>
      </c>
      <c r="B6" s="117" t="s">
        <v>132</v>
      </c>
      <c r="C6" s="118">
        <v>56.37</v>
      </c>
      <c r="E6" s="116" t="s">
        <v>131</v>
      </c>
      <c r="F6" s="117" t="s">
        <v>132</v>
      </c>
      <c r="G6" s="118">
        <v>51.25</v>
      </c>
    </row>
    <row r="7" spans="1:7" x14ac:dyDescent="0.2">
      <c r="A7" s="119" t="s">
        <v>133</v>
      </c>
      <c r="B7" s="25" t="s">
        <v>134</v>
      </c>
      <c r="C7" s="120">
        <v>75.14</v>
      </c>
      <c r="E7" s="119" t="s">
        <v>133</v>
      </c>
      <c r="F7" s="25" t="s">
        <v>134</v>
      </c>
      <c r="G7" s="120">
        <v>71.569999999999993</v>
      </c>
    </row>
    <row r="8" spans="1:7" x14ac:dyDescent="0.2">
      <c r="A8" s="116" t="s">
        <v>135</v>
      </c>
      <c r="B8" s="117" t="s">
        <v>136</v>
      </c>
      <c r="C8" s="118">
        <v>117.24</v>
      </c>
      <c r="E8" s="116" t="s">
        <v>135</v>
      </c>
      <c r="F8" s="117" t="s">
        <v>136</v>
      </c>
      <c r="G8" s="118">
        <v>111.66</v>
      </c>
    </row>
    <row r="9" spans="1:7" x14ac:dyDescent="0.2">
      <c r="A9" s="119" t="s">
        <v>137</v>
      </c>
      <c r="B9" s="25" t="s">
        <v>138</v>
      </c>
      <c r="C9" s="120">
        <v>163.41</v>
      </c>
      <c r="E9" s="119" t="s">
        <v>137</v>
      </c>
      <c r="F9" s="25" t="s">
        <v>138</v>
      </c>
      <c r="G9" s="120">
        <v>155.63</v>
      </c>
    </row>
    <row r="10" spans="1:7" x14ac:dyDescent="0.2">
      <c r="A10" s="116" t="s">
        <v>139</v>
      </c>
      <c r="B10" s="117" t="s">
        <v>140</v>
      </c>
      <c r="C10" s="118">
        <v>222.78</v>
      </c>
      <c r="E10" s="116" t="s">
        <v>139</v>
      </c>
      <c r="F10" s="117" t="s">
        <v>140</v>
      </c>
      <c r="G10" s="118">
        <v>212.17</v>
      </c>
    </row>
    <row r="11" spans="1:7" x14ac:dyDescent="0.2">
      <c r="A11" s="121" t="s">
        <v>141</v>
      </c>
      <c r="B11" s="25" t="s">
        <v>134</v>
      </c>
      <c r="C11" s="120">
        <v>8.6</v>
      </c>
      <c r="E11" s="121" t="s">
        <v>141</v>
      </c>
      <c r="F11" s="25" t="s">
        <v>134</v>
      </c>
      <c r="G11" s="120">
        <v>8.6</v>
      </c>
    </row>
    <row r="12" spans="1:7" x14ac:dyDescent="0.2">
      <c r="A12" s="122" t="s">
        <v>142</v>
      </c>
      <c r="B12" s="117" t="s">
        <v>136</v>
      </c>
      <c r="C12" s="118">
        <v>25</v>
      </c>
      <c r="E12" s="122" t="s">
        <v>142</v>
      </c>
      <c r="F12" s="117" t="s">
        <v>136</v>
      </c>
      <c r="G12" s="118">
        <v>25</v>
      </c>
    </row>
    <row r="13" spans="1:7" x14ac:dyDescent="0.2">
      <c r="A13" s="121" t="s">
        <v>143</v>
      </c>
      <c r="B13" s="25" t="s">
        <v>138</v>
      </c>
      <c r="C13" s="120">
        <v>51.95</v>
      </c>
      <c r="E13" s="121" t="s">
        <v>143</v>
      </c>
      <c r="F13" s="25" t="s">
        <v>138</v>
      </c>
      <c r="G13" s="120">
        <v>51.95</v>
      </c>
    </row>
    <row r="14" spans="1:7" x14ac:dyDescent="0.2">
      <c r="A14" s="122" t="s">
        <v>144</v>
      </c>
      <c r="B14" s="117" t="s">
        <v>140</v>
      </c>
      <c r="C14" s="118">
        <v>95.78</v>
      </c>
      <c r="E14" s="122" t="s">
        <v>144</v>
      </c>
      <c r="F14" s="117" t="s">
        <v>140</v>
      </c>
      <c r="G14" s="118">
        <v>95.78</v>
      </c>
    </row>
    <row r="15" spans="1:7" x14ac:dyDescent="0.2">
      <c r="A15" s="123" t="s">
        <v>97</v>
      </c>
      <c r="B15" s="25" t="s">
        <v>23</v>
      </c>
      <c r="C15" s="120">
        <v>4.13</v>
      </c>
      <c r="E15" s="123" t="s">
        <v>97</v>
      </c>
      <c r="F15" s="25" t="s">
        <v>23</v>
      </c>
      <c r="G15" s="120">
        <v>3.93</v>
      </c>
    </row>
    <row r="16" spans="1:7" x14ac:dyDescent="0.2">
      <c r="A16" s="124" t="s">
        <v>145</v>
      </c>
      <c r="B16" s="117" t="s">
        <v>22</v>
      </c>
      <c r="C16" s="118">
        <v>3.59</v>
      </c>
      <c r="E16" s="124" t="s">
        <v>145</v>
      </c>
      <c r="F16" s="117" t="s">
        <v>22</v>
      </c>
      <c r="G16" s="118">
        <v>3.42</v>
      </c>
    </row>
    <row r="17" spans="1:7" x14ac:dyDescent="0.2">
      <c r="A17" s="123" t="s">
        <v>146</v>
      </c>
      <c r="B17" s="25" t="s">
        <v>21</v>
      </c>
      <c r="C17" s="120">
        <v>3.49</v>
      </c>
      <c r="E17" s="123" t="s">
        <v>146</v>
      </c>
      <c r="F17" s="25" t="s">
        <v>21</v>
      </c>
      <c r="G17" s="120">
        <v>3.32</v>
      </c>
    </row>
    <row r="18" spans="1:7" x14ac:dyDescent="0.2">
      <c r="A18" s="124" t="s">
        <v>147</v>
      </c>
      <c r="B18" s="117" t="s">
        <v>148</v>
      </c>
      <c r="C18" s="118">
        <v>2.5299999999999998</v>
      </c>
      <c r="E18" s="124" t="s">
        <v>147</v>
      </c>
      <c r="F18" s="117" t="s">
        <v>148</v>
      </c>
      <c r="G18" s="118">
        <v>2.41</v>
      </c>
    </row>
    <row r="19" spans="1:7" x14ac:dyDescent="0.2">
      <c r="A19" s="125" t="s">
        <v>149</v>
      </c>
      <c r="B19" s="126" t="s">
        <v>150</v>
      </c>
      <c r="C19" s="120">
        <v>1.73</v>
      </c>
      <c r="E19" s="125" t="s">
        <v>149</v>
      </c>
      <c r="F19" s="126" t="s">
        <v>150</v>
      </c>
      <c r="G19" s="120">
        <v>1.65</v>
      </c>
    </row>
    <row r="20" spans="1:7" x14ac:dyDescent="0.2">
      <c r="A20" s="124" t="s">
        <v>151</v>
      </c>
      <c r="B20" s="117" t="s">
        <v>152</v>
      </c>
      <c r="C20" s="118">
        <v>5.75</v>
      </c>
      <c r="E20" s="124" t="s">
        <v>151</v>
      </c>
      <c r="F20" s="117" t="s">
        <v>152</v>
      </c>
      <c r="G20" s="118">
        <v>5.48</v>
      </c>
    </row>
    <row r="21" spans="1:7" x14ac:dyDescent="0.2">
      <c r="A21" s="127" t="s">
        <v>153</v>
      </c>
      <c r="B21" s="105" t="s">
        <v>154</v>
      </c>
      <c r="C21" s="128">
        <v>4.87</v>
      </c>
      <c r="E21" s="127" t="s">
        <v>153</v>
      </c>
      <c r="F21" s="105" t="s">
        <v>154</v>
      </c>
      <c r="G21" s="128">
        <v>4.6399999999999997</v>
      </c>
    </row>
    <row r="22" spans="1:7" x14ac:dyDescent="0.2">
      <c r="A22" s="116" t="s">
        <v>155</v>
      </c>
      <c r="B22" s="117" t="s">
        <v>124</v>
      </c>
      <c r="C22" s="118">
        <v>7</v>
      </c>
      <c r="E22" s="116" t="s">
        <v>155</v>
      </c>
      <c r="F22" s="117" t="s">
        <v>124</v>
      </c>
      <c r="G22" s="118">
        <v>6.41</v>
      </c>
    </row>
    <row r="23" spans="1:7" x14ac:dyDescent="0.2">
      <c r="A23" s="119" t="s">
        <v>156</v>
      </c>
      <c r="B23" s="25" t="s">
        <v>126</v>
      </c>
      <c r="C23" s="120">
        <v>12.9</v>
      </c>
      <c r="E23" s="119" t="s">
        <v>156</v>
      </c>
      <c r="F23" s="25" t="s">
        <v>126</v>
      </c>
      <c r="G23" s="120">
        <v>11.94</v>
      </c>
    </row>
    <row r="24" spans="1:7" x14ac:dyDescent="0.2">
      <c r="A24" s="116" t="s">
        <v>157</v>
      </c>
      <c r="B24" s="117" t="s">
        <v>128</v>
      </c>
      <c r="C24" s="118">
        <v>13.9</v>
      </c>
      <c r="E24" s="116" t="s">
        <v>157</v>
      </c>
      <c r="F24" s="117" t="s">
        <v>128</v>
      </c>
      <c r="G24" s="118">
        <v>12.88</v>
      </c>
    </row>
    <row r="25" spans="1:7" x14ac:dyDescent="0.2">
      <c r="A25" s="116" t="s">
        <v>158</v>
      </c>
      <c r="B25" s="25" t="s">
        <v>130</v>
      </c>
      <c r="C25" s="120">
        <v>18.8</v>
      </c>
      <c r="E25" s="116" t="s">
        <v>158</v>
      </c>
      <c r="F25" s="25" t="s">
        <v>130</v>
      </c>
      <c r="G25" s="120">
        <v>15.67</v>
      </c>
    </row>
    <row r="26" spans="1:7" x14ac:dyDescent="0.2">
      <c r="A26" s="116" t="s">
        <v>159</v>
      </c>
      <c r="B26" s="117" t="s">
        <v>132</v>
      </c>
      <c r="C26" s="118">
        <v>21.78</v>
      </c>
      <c r="E26" s="116" t="s">
        <v>159</v>
      </c>
      <c r="F26" s="117" t="s">
        <v>132</v>
      </c>
      <c r="G26" s="118">
        <v>18.149999999999999</v>
      </c>
    </row>
    <row r="27" spans="1:7" x14ac:dyDescent="0.2">
      <c r="A27" s="119" t="s">
        <v>160</v>
      </c>
      <c r="B27" s="25" t="s">
        <v>134</v>
      </c>
      <c r="C27" s="120">
        <v>33.67</v>
      </c>
      <c r="E27" s="119" t="s">
        <v>160</v>
      </c>
      <c r="F27" s="25" t="s">
        <v>134</v>
      </c>
      <c r="G27" s="120">
        <v>28.06</v>
      </c>
    </row>
    <row r="28" spans="1:7" x14ac:dyDescent="0.2">
      <c r="A28" s="116" t="s">
        <v>161</v>
      </c>
      <c r="B28" s="117" t="s">
        <v>136</v>
      </c>
      <c r="C28" s="118">
        <v>49.12</v>
      </c>
      <c r="E28" s="116" t="s">
        <v>161</v>
      </c>
      <c r="F28" s="117" t="s">
        <v>136</v>
      </c>
      <c r="G28" s="118">
        <v>40.94</v>
      </c>
    </row>
    <row r="29" spans="1:7" x14ac:dyDescent="0.2">
      <c r="A29" s="119" t="s">
        <v>162</v>
      </c>
      <c r="B29" s="25" t="s">
        <v>138</v>
      </c>
      <c r="C29" s="120">
        <v>65.8</v>
      </c>
      <c r="E29" s="119" t="s">
        <v>162</v>
      </c>
      <c r="F29" s="25" t="s">
        <v>138</v>
      </c>
      <c r="G29" s="120">
        <v>54.84</v>
      </c>
    </row>
    <row r="30" spans="1:7" x14ac:dyDescent="0.2">
      <c r="A30" s="116" t="s">
        <v>163</v>
      </c>
      <c r="B30" s="117" t="s">
        <v>140</v>
      </c>
      <c r="C30" s="118">
        <v>86.37</v>
      </c>
      <c r="E30" s="116" t="s">
        <v>163</v>
      </c>
      <c r="F30" s="117" t="s">
        <v>140</v>
      </c>
      <c r="G30" s="118">
        <v>75.11</v>
      </c>
    </row>
    <row r="31" spans="1:7" x14ac:dyDescent="0.2">
      <c r="A31" s="123" t="s">
        <v>100</v>
      </c>
      <c r="B31" s="25" t="s">
        <v>23</v>
      </c>
      <c r="C31" s="120">
        <v>7.3</v>
      </c>
      <c r="E31" s="123" t="s">
        <v>100</v>
      </c>
      <c r="F31" s="25" t="s">
        <v>23</v>
      </c>
      <c r="G31" s="120">
        <v>6.7</v>
      </c>
    </row>
    <row r="32" spans="1:7" x14ac:dyDescent="0.2">
      <c r="A32" s="124" t="s">
        <v>164</v>
      </c>
      <c r="B32" s="129" t="s">
        <v>165</v>
      </c>
      <c r="C32" s="118">
        <v>7.3</v>
      </c>
      <c r="E32" s="124" t="s">
        <v>164</v>
      </c>
      <c r="F32" s="129" t="s">
        <v>165</v>
      </c>
      <c r="G32" s="118">
        <v>6.7</v>
      </c>
    </row>
    <row r="33" spans="1:7" x14ac:dyDescent="0.2">
      <c r="A33" s="123" t="s">
        <v>166</v>
      </c>
      <c r="B33" s="25" t="s">
        <v>167</v>
      </c>
      <c r="C33" s="120">
        <v>7.3</v>
      </c>
      <c r="E33" s="123" t="s">
        <v>166</v>
      </c>
      <c r="F33" s="25" t="s">
        <v>167</v>
      </c>
      <c r="G33" s="120">
        <v>6.7</v>
      </c>
    </row>
    <row r="34" spans="1:7" x14ac:dyDescent="0.2">
      <c r="A34" s="124" t="s">
        <v>168</v>
      </c>
      <c r="B34" s="117" t="s">
        <v>169</v>
      </c>
      <c r="C34" s="130">
        <v>4.6399999999999997</v>
      </c>
      <c r="E34" s="124" t="s">
        <v>168</v>
      </c>
      <c r="F34" s="117" t="s">
        <v>169</v>
      </c>
      <c r="G34" s="130">
        <v>4.6399999999999997</v>
      </c>
    </row>
    <row r="35" spans="1:7" x14ac:dyDescent="0.2">
      <c r="A35" s="123" t="s">
        <v>170</v>
      </c>
      <c r="B35" s="25" t="s">
        <v>171</v>
      </c>
      <c r="C35" s="131">
        <v>0.63680000000000003</v>
      </c>
      <c r="E35" s="123" t="s">
        <v>170</v>
      </c>
      <c r="F35" s="25" t="s">
        <v>171</v>
      </c>
      <c r="G35" s="131">
        <v>0.63680000000000003</v>
      </c>
    </row>
    <row r="36" spans="1:7" x14ac:dyDescent="0.2">
      <c r="A36" s="124" t="s">
        <v>172</v>
      </c>
      <c r="B36" s="117" t="s">
        <v>173</v>
      </c>
      <c r="C36" s="130">
        <v>0.33410000000000001</v>
      </c>
      <c r="E36" s="124" t="s">
        <v>172</v>
      </c>
      <c r="F36" s="117" t="s">
        <v>173</v>
      </c>
      <c r="G36" s="130">
        <v>0.33410000000000001</v>
      </c>
    </row>
    <row r="37" spans="1:7" x14ac:dyDescent="0.2">
      <c r="A37" s="132" t="s">
        <v>174</v>
      </c>
      <c r="B37" s="117" t="s">
        <v>175</v>
      </c>
      <c r="C37" s="118">
        <v>59.33</v>
      </c>
      <c r="E37" s="132" t="s">
        <v>174</v>
      </c>
      <c r="F37" s="117" t="s">
        <v>175</v>
      </c>
      <c r="G37" s="118">
        <v>59.33</v>
      </c>
    </row>
    <row r="38" spans="1:7" x14ac:dyDescent="0.2">
      <c r="A38" s="133" t="s">
        <v>176</v>
      </c>
      <c r="B38" s="134" t="s">
        <v>177</v>
      </c>
      <c r="C38" s="120">
        <v>133.55000000000001</v>
      </c>
      <c r="E38" s="133" t="s">
        <v>176</v>
      </c>
      <c r="F38" s="134" t="s">
        <v>177</v>
      </c>
      <c r="G38" s="120">
        <v>133.55000000000001</v>
      </c>
    </row>
    <row r="39" spans="1:7" x14ac:dyDescent="0.2">
      <c r="A39" s="135" t="s">
        <v>178</v>
      </c>
      <c r="B39" s="117" t="s">
        <v>179</v>
      </c>
      <c r="C39" s="118">
        <v>200.33</v>
      </c>
      <c r="E39" s="135" t="s">
        <v>178</v>
      </c>
      <c r="F39" s="117" t="s">
        <v>179</v>
      </c>
      <c r="G39" s="118">
        <v>200.33</v>
      </c>
    </row>
    <row r="40" spans="1:7" x14ac:dyDescent="0.2">
      <c r="A40" s="136" t="s">
        <v>180</v>
      </c>
      <c r="B40" s="117" t="s">
        <v>181</v>
      </c>
      <c r="C40" s="137">
        <v>12.42</v>
      </c>
      <c r="E40" s="136" t="s">
        <v>180</v>
      </c>
      <c r="F40" s="117" t="s">
        <v>181</v>
      </c>
      <c r="G40" s="137">
        <v>12.42</v>
      </c>
    </row>
    <row r="41" spans="1:7" x14ac:dyDescent="0.2">
      <c r="A41" s="138" t="s">
        <v>182</v>
      </c>
      <c r="B41" s="117" t="s">
        <v>183</v>
      </c>
      <c r="C41" s="118">
        <v>13.92</v>
      </c>
      <c r="E41" s="138" t="s">
        <v>182</v>
      </c>
      <c r="F41" s="117" t="s">
        <v>183</v>
      </c>
      <c r="G41" s="118">
        <v>13.92</v>
      </c>
    </row>
    <row r="42" spans="1:7" x14ac:dyDescent="0.2">
      <c r="A42" s="138" t="s">
        <v>184</v>
      </c>
      <c r="B42" s="134" t="s">
        <v>185</v>
      </c>
      <c r="C42" s="120">
        <v>15.42</v>
      </c>
      <c r="E42" s="138" t="s">
        <v>184</v>
      </c>
      <c r="F42" s="134" t="s">
        <v>185</v>
      </c>
      <c r="G42" s="120">
        <v>15.42</v>
      </c>
    </row>
    <row r="43" spans="1:7" x14ac:dyDescent="0.2">
      <c r="A43" s="138" t="s">
        <v>186</v>
      </c>
      <c r="B43" s="117" t="s">
        <v>187</v>
      </c>
      <c r="C43" s="118">
        <v>21.42</v>
      </c>
      <c r="E43" s="138" t="s">
        <v>186</v>
      </c>
      <c r="F43" s="117" t="s">
        <v>187</v>
      </c>
      <c r="G43" s="118">
        <v>21.42</v>
      </c>
    </row>
    <row r="44" spans="1:7" x14ac:dyDescent="0.2">
      <c r="A44" s="138" t="s">
        <v>188</v>
      </c>
      <c r="B44" s="117" t="s">
        <v>189</v>
      </c>
      <c r="C44" s="137">
        <v>18.920000000000002</v>
      </c>
      <c r="E44" s="138" t="s">
        <v>188</v>
      </c>
      <c r="F44" s="117" t="s">
        <v>189</v>
      </c>
      <c r="G44" s="137">
        <v>18.920000000000002</v>
      </c>
    </row>
    <row r="45" spans="1:7" x14ac:dyDescent="0.2">
      <c r="A45" s="138" t="s">
        <v>190</v>
      </c>
      <c r="B45" s="117" t="s">
        <v>191</v>
      </c>
      <c r="C45" s="118">
        <v>20.420000000000002</v>
      </c>
      <c r="E45" s="138" t="s">
        <v>190</v>
      </c>
      <c r="F45" s="117" t="s">
        <v>191</v>
      </c>
      <c r="G45" s="118">
        <v>20.420000000000002</v>
      </c>
    </row>
    <row r="46" spans="1:7" x14ac:dyDescent="0.2">
      <c r="A46" s="138" t="s">
        <v>192</v>
      </c>
      <c r="B46" s="134" t="s">
        <v>193</v>
      </c>
      <c r="C46" s="120">
        <v>21.92</v>
      </c>
      <c r="E46" s="138" t="s">
        <v>192</v>
      </c>
      <c r="F46" s="134" t="s">
        <v>193</v>
      </c>
      <c r="G46" s="120">
        <v>21.92</v>
      </c>
    </row>
    <row r="47" spans="1:7" x14ac:dyDescent="0.2">
      <c r="A47" s="138" t="s">
        <v>194</v>
      </c>
      <c r="B47" s="117" t="s">
        <v>195</v>
      </c>
      <c r="C47" s="118">
        <v>27.92</v>
      </c>
      <c r="E47" s="138" t="s">
        <v>194</v>
      </c>
      <c r="F47" s="117" t="s">
        <v>195</v>
      </c>
      <c r="G47" s="118">
        <v>27.92</v>
      </c>
    </row>
    <row r="48" spans="1:7" x14ac:dyDescent="0.2">
      <c r="A48" s="138" t="s">
        <v>196</v>
      </c>
      <c r="B48" s="117" t="s">
        <v>197</v>
      </c>
      <c r="C48" s="137">
        <v>25.42</v>
      </c>
      <c r="E48" s="138" t="s">
        <v>196</v>
      </c>
      <c r="F48" s="117" t="s">
        <v>197</v>
      </c>
      <c r="G48" s="137">
        <v>25.42</v>
      </c>
    </row>
    <row r="49" spans="1:7" x14ac:dyDescent="0.2">
      <c r="A49" s="138" t="s">
        <v>198</v>
      </c>
      <c r="B49" s="117" t="s">
        <v>199</v>
      </c>
      <c r="C49" s="118">
        <v>26.92</v>
      </c>
      <c r="E49" s="138" t="s">
        <v>198</v>
      </c>
      <c r="F49" s="117" t="s">
        <v>199</v>
      </c>
      <c r="G49" s="118">
        <v>26.92</v>
      </c>
    </row>
    <row r="50" spans="1:7" x14ac:dyDescent="0.2">
      <c r="A50" s="138" t="s">
        <v>200</v>
      </c>
      <c r="B50" s="134" t="s">
        <v>201</v>
      </c>
      <c r="C50" s="120">
        <v>28.42</v>
      </c>
      <c r="E50" s="138" t="s">
        <v>200</v>
      </c>
      <c r="F50" s="134" t="s">
        <v>201</v>
      </c>
      <c r="G50" s="120">
        <v>28.42</v>
      </c>
    </row>
    <row r="51" spans="1:7" x14ac:dyDescent="0.2">
      <c r="A51" s="138" t="s">
        <v>194</v>
      </c>
      <c r="B51" s="117" t="s">
        <v>202</v>
      </c>
      <c r="C51" s="118">
        <v>34.42</v>
      </c>
      <c r="E51" s="138" t="s">
        <v>194</v>
      </c>
      <c r="F51" s="117" t="s">
        <v>202</v>
      </c>
      <c r="G51" s="118">
        <v>34.42</v>
      </c>
    </row>
    <row r="52" spans="1:7" x14ac:dyDescent="0.2">
      <c r="A52" s="138" t="s">
        <v>203</v>
      </c>
      <c r="B52" s="117" t="s">
        <v>204</v>
      </c>
      <c r="C52" s="137">
        <v>12.42</v>
      </c>
      <c r="E52" s="138" t="s">
        <v>203</v>
      </c>
      <c r="F52" s="117" t="s">
        <v>204</v>
      </c>
      <c r="G52" s="137">
        <v>12.42</v>
      </c>
    </row>
    <row r="53" spans="1:7" x14ac:dyDescent="0.2">
      <c r="A53" s="138" t="s">
        <v>205</v>
      </c>
      <c r="B53" s="117" t="s">
        <v>206</v>
      </c>
      <c r="C53" s="118">
        <v>13.92</v>
      </c>
      <c r="E53" s="138" t="s">
        <v>205</v>
      </c>
      <c r="F53" s="117" t="s">
        <v>206</v>
      </c>
      <c r="G53" s="118">
        <v>13.92</v>
      </c>
    </row>
    <row r="54" spans="1:7" x14ac:dyDescent="0.2">
      <c r="A54" s="138" t="s">
        <v>207</v>
      </c>
      <c r="B54" s="117" t="s">
        <v>208</v>
      </c>
      <c r="C54" s="118">
        <v>15.42</v>
      </c>
      <c r="E54" s="138" t="s">
        <v>207</v>
      </c>
      <c r="F54" s="117" t="s">
        <v>208</v>
      </c>
      <c r="G54" s="118">
        <v>15.42</v>
      </c>
    </row>
    <row r="55" spans="1:7" x14ac:dyDescent="0.2">
      <c r="A55" s="138" t="s">
        <v>209</v>
      </c>
      <c r="B55" s="117" t="s">
        <v>210</v>
      </c>
      <c r="C55" s="118">
        <v>6</v>
      </c>
      <c r="E55" s="138" t="s">
        <v>209</v>
      </c>
      <c r="F55" s="117" t="s">
        <v>210</v>
      </c>
      <c r="G55" s="118">
        <v>6</v>
      </c>
    </row>
    <row r="56" spans="1:7" x14ac:dyDescent="0.2">
      <c r="A56" s="138" t="s">
        <v>211</v>
      </c>
      <c r="B56" s="117" t="s">
        <v>181</v>
      </c>
      <c r="C56" s="118">
        <v>22.42</v>
      </c>
      <c r="E56" s="138" t="s">
        <v>211</v>
      </c>
      <c r="F56" s="117" t="s">
        <v>181</v>
      </c>
      <c r="G56" s="118">
        <v>22.42</v>
      </c>
    </row>
    <row r="57" spans="1:7" x14ac:dyDescent="0.2">
      <c r="A57" s="138" t="s">
        <v>212</v>
      </c>
      <c r="B57" s="117" t="s">
        <v>183</v>
      </c>
      <c r="C57" s="137">
        <v>23.92</v>
      </c>
      <c r="E57" s="138" t="s">
        <v>212</v>
      </c>
      <c r="F57" s="117" t="s">
        <v>183</v>
      </c>
      <c r="G57" s="137">
        <v>23.92</v>
      </c>
    </row>
    <row r="58" spans="1:7" x14ac:dyDescent="0.2">
      <c r="A58" s="138" t="s">
        <v>213</v>
      </c>
      <c r="B58" s="117" t="s">
        <v>185</v>
      </c>
      <c r="C58" s="118">
        <v>25.42</v>
      </c>
      <c r="E58" s="138" t="s">
        <v>213</v>
      </c>
      <c r="F58" s="117" t="s">
        <v>185</v>
      </c>
      <c r="G58" s="118">
        <v>25.42</v>
      </c>
    </row>
    <row r="59" spans="1:7" x14ac:dyDescent="0.2">
      <c r="A59" s="138" t="s">
        <v>214</v>
      </c>
      <c r="B59" s="134" t="s">
        <v>187</v>
      </c>
      <c r="C59" s="120">
        <v>31.42</v>
      </c>
      <c r="E59" s="138" t="s">
        <v>214</v>
      </c>
      <c r="F59" s="134" t="s">
        <v>187</v>
      </c>
      <c r="G59" s="120">
        <v>31.42</v>
      </c>
    </row>
    <row r="60" spans="1:7" x14ac:dyDescent="0.2">
      <c r="A60" s="138" t="s">
        <v>215</v>
      </c>
      <c r="B60" s="117" t="s">
        <v>189</v>
      </c>
      <c r="C60" s="118">
        <v>28.92</v>
      </c>
      <c r="E60" s="138" t="s">
        <v>215</v>
      </c>
      <c r="F60" s="117" t="s">
        <v>189</v>
      </c>
      <c r="G60" s="118">
        <v>28.92</v>
      </c>
    </row>
    <row r="61" spans="1:7" x14ac:dyDescent="0.2">
      <c r="A61" s="138" t="s">
        <v>216</v>
      </c>
      <c r="B61" s="117" t="s">
        <v>191</v>
      </c>
      <c r="C61" s="137">
        <v>30.42</v>
      </c>
      <c r="E61" s="138" t="s">
        <v>216</v>
      </c>
      <c r="F61" s="117" t="s">
        <v>191</v>
      </c>
      <c r="G61" s="137">
        <v>30.42</v>
      </c>
    </row>
    <row r="62" spans="1:7" x14ac:dyDescent="0.2">
      <c r="A62" s="138" t="s">
        <v>217</v>
      </c>
      <c r="B62" s="117" t="s">
        <v>193</v>
      </c>
      <c r="C62" s="118">
        <v>31.92</v>
      </c>
      <c r="E62" s="138" t="s">
        <v>217</v>
      </c>
      <c r="F62" s="117" t="s">
        <v>193</v>
      </c>
      <c r="G62" s="118">
        <v>31.92</v>
      </c>
    </row>
    <row r="63" spans="1:7" x14ac:dyDescent="0.2">
      <c r="A63" s="138" t="s">
        <v>218</v>
      </c>
      <c r="B63" s="134" t="s">
        <v>195</v>
      </c>
      <c r="C63" s="120">
        <v>37.92</v>
      </c>
      <c r="E63" s="138" t="s">
        <v>218</v>
      </c>
      <c r="F63" s="134" t="s">
        <v>195</v>
      </c>
      <c r="G63" s="120">
        <v>37.92</v>
      </c>
    </row>
    <row r="64" spans="1:7" x14ac:dyDescent="0.2">
      <c r="A64" s="138" t="s">
        <v>219</v>
      </c>
      <c r="B64" s="117" t="s">
        <v>197</v>
      </c>
      <c r="C64" s="118">
        <v>35.42</v>
      </c>
      <c r="E64" s="138" t="s">
        <v>219</v>
      </c>
      <c r="F64" s="117" t="s">
        <v>197</v>
      </c>
      <c r="G64" s="118">
        <v>35.42</v>
      </c>
    </row>
    <row r="65" spans="1:7" x14ac:dyDescent="0.2">
      <c r="A65" s="138" t="s">
        <v>220</v>
      </c>
      <c r="B65" s="117" t="s">
        <v>199</v>
      </c>
      <c r="C65" s="137">
        <v>36.92</v>
      </c>
      <c r="E65" s="138" t="s">
        <v>220</v>
      </c>
      <c r="F65" s="117" t="s">
        <v>199</v>
      </c>
      <c r="G65" s="137">
        <v>36.92</v>
      </c>
    </row>
    <row r="66" spans="1:7" x14ac:dyDescent="0.2">
      <c r="A66" s="138" t="s">
        <v>221</v>
      </c>
      <c r="B66" s="117" t="s">
        <v>201</v>
      </c>
      <c r="C66" s="118">
        <v>38.42</v>
      </c>
      <c r="E66" s="138" t="s">
        <v>221</v>
      </c>
      <c r="F66" s="117" t="s">
        <v>201</v>
      </c>
      <c r="G66" s="118">
        <v>38.42</v>
      </c>
    </row>
    <row r="67" spans="1:7" x14ac:dyDescent="0.2">
      <c r="A67" s="139" t="s">
        <v>222</v>
      </c>
      <c r="B67" s="134" t="s">
        <v>202</v>
      </c>
      <c r="C67" s="118">
        <v>44.42</v>
      </c>
      <c r="E67" s="139" t="s">
        <v>222</v>
      </c>
      <c r="F67" s="134" t="s">
        <v>202</v>
      </c>
      <c r="G67" s="118">
        <v>44.42</v>
      </c>
    </row>
    <row r="68" spans="1:7" x14ac:dyDescent="0.2">
      <c r="A68" s="139" t="s">
        <v>223</v>
      </c>
      <c r="B68" s="117" t="s">
        <v>210</v>
      </c>
      <c r="C68" s="118">
        <v>6</v>
      </c>
      <c r="E68" s="139" t="s">
        <v>223</v>
      </c>
      <c r="F68" s="117" t="s">
        <v>210</v>
      </c>
      <c r="G68" s="118">
        <v>6</v>
      </c>
    </row>
    <row r="69" spans="1:7" x14ac:dyDescent="0.2">
      <c r="A69" s="140" t="s">
        <v>224</v>
      </c>
      <c r="B69" s="117"/>
      <c r="C69" s="137">
        <v>7.03</v>
      </c>
      <c r="E69" s="140" t="s">
        <v>224</v>
      </c>
      <c r="F69" s="117"/>
      <c r="G69" s="137">
        <v>7.03</v>
      </c>
    </row>
    <row r="70" spans="1:7" x14ac:dyDescent="0.2">
      <c r="A70" s="141" t="s">
        <v>225</v>
      </c>
      <c r="B70" s="117"/>
      <c r="C70" s="118">
        <v>5.45</v>
      </c>
      <c r="E70" s="141" t="s">
        <v>225</v>
      </c>
      <c r="F70" s="117"/>
      <c r="G70" s="118">
        <v>5.45</v>
      </c>
    </row>
    <row r="71" spans="1:7" x14ac:dyDescent="0.2">
      <c r="A71" s="116" t="s">
        <v>226</v>
      </c>
      <c r="B71" s="117" t="s">
        <v>124</v>
      </c>
      <c r="C71" s="142">
        <v>8.5399999999999991</v>
      </c>
      <c r="E71" s="116" t="s">
        <v>226</v>
      </c>
      <c r="F71" s="117" t="s">
        <v>124</v>
      </c>
      <c r="G71" s="142">
        <v>19.86</v>
      </c>
    </row>
    <row r="72" spans="1:7" x14ac:dyDescent="0.2">
      <c r="A72" s="143" t="s">
        <v>227</v>
      </c>
      <c r="B72" s="26" t="s">
        <v>126</v>
      </c>
      <c r="C72" s="144">
        <v>10.43</v>
      </c>
      <c r="E72" s="143" t="s">
        <v>227</v>
      </c>
      <c r="F72" s="26" t="s">
        <v>126</v>
      </c>
      <c r="G72" s="144">
        <v>20.100000000000001</v>
      </c>
    </row>
    <row r="73" spans="1:7" x14ac:dyDescent="0.2">
      <c r="A73" s="145" t="s">
        <v>228</v>
      </c>
      <c r="B73" s="117" t="s">
        <v>128</v>
      </c>
      <c r="C73" s="142">
        <v>13.07</v>
      </c>
      <c r="E73" s="145" t="s">
        <v>228</v>
      </c>
      <c r="F73" s="117" t="s">
        <v>128</v>
      </c>
      <c r="G73" s="142">
        <v>20.34</v>
      </c>
    </row>
    <row r="74" spans="1:7" x14ac:dyDescent="0.2">
      <c r="A74" s="146" t="s">
        <v>229</v>
      </c>
      <c r="B74" s="26" t="s">
        <v>130</v>
      </c>
      <c r="C74" s="147">
        <v>21.82</v>
      </c>
      <c r="E74" s="146" t="s">
        <v>229</v>
      </c>
      <c r="F74" s="26" t="s">
        <v>130</v>
      </c>
      <c r="G74" s="147">
        <v>23.39</v>
      </c>
    </row>
    <row r="75" spans="1:7" x14ac:dyDescent="0.2">
      <c r="A75" s="116" t="s">
        <v>230</v>
      </c>
      <c r="B75" s="117" t="s">
        <v>132</v>
      </c>
      <c r="C75" s="118">
        <v>58.29</v>
      </c>
      <c r="E75" s="116" t="s">
        <v>230</v>
      </c>
      <c r="F75" s="117" t="s">
        <v>132</v>
      </c>
      <c r="G75" s="118">
        <v>26.7</v>
      </c>
    </row>
    <row r="76" spans="1:7" x14ac:dyDescent="0.2">
      <c r="A76" s="146" t="s">
        <v>231</v>
      </c>
      <c r="B76" s="26" t="s">
        <v>134</v>
      </c>
      <c r="C76" s="147">
        <v>77.45</v>
      </c>
      <c r="E76" s="146" t="s">
        <v>231</v>
      </c>
      <c r="F76" s="26" t="s">
        <v>134</v>
      </c>
      <c r="G76" s="147">
        <v>33.01</v>
      </c>
    </row>
    <row r="77" spans="1:7" x14ac:dyDescent="0.2">
      <c r="A77" s="116" t="s">
        <v>232</v>
      </c>
      <c r="B77" s="117" t="s">
        <v>136</v>
      </c>
      <c r="C77" s="118">
        <v>120.71</v>
      </c>
      <c r="E77" s="116" t="s">
        <v>232</v>
      </c>
      <c r="F77" s="117" t="s">
        <v>136</v>
      </c>
      <c r="G77" s="118">
        <v>45.42</v>
      </c>
    </row>
    <row r="78" spans="1:7" x14ac:dyDescent="0.2">
      <c r="A78" s="146" t="s">
        <v>233</v>
      </c>
      <c r="B78" s="26" t="s">
        <v>138</v>
      </c>
      <c r="C78" s="147">
        <v>168.24</v>
      </c>
      <c r="E78" s="146" t="s">
        <v>233</v>
      </c>
      <c r="F78" s="26" t="s">
        <v>138</v>
      </c>
      <c r="G78" s="147">
        <v>59.35</v>
      </c>
    </row>
    <row r="79" spans="1:7" x14ac:dyDescent="0.2">
      <c r="A79" s="116" t="s">
        <v>234</v>
      </c>
      <c r="B79" s="117" t="s">
        <v>140</v>
      </c>
      <c r="C79" s="118">
        <v>229.09</v>
      </c>
      <c r="E79" s="116" t="s">
        <v>234</v>
      </c>
      <c r="F79" s="117" t="s">
        <v>140</v>
      </c>
      <c r="G79" s="118">
        <v>81.03</v>
      </c>
    </row>
    <row r="80" spans="1:7" x14ac:dyDescent="0.2">
      <c r="A80" s="148" t="s">
        <v>235</v>
      </c>
      <c r="B80" s="26" t="s">
        <v>134</v>
      </c>
      <c r="C80" s="147">
        <v>10.85</v>
      </c>
      <c r="E80" s="148" t="s">
        <v>235</v>
      </c>
      <c r="F80" s="26" t="s">
        <v>134</v>
      </c>
      <c r="G80" s="147">
        <v>10.85</v>
      </c>
    </row>
    <row r="81" spans="1:7" x14ac:dyDescent="0.2">
      <c r="A81" s="122" t="s">
        <v>236</v>
      </c>
      <c r="B81" s="117" t="s">
        <v>136</v>
      </c>
      <c r="C81" s="118">
        <v>31.51</v>
      </c>
      <c r="E81" s="122" t="s">
        <v>236</v>
      </c>
      <c r="F81" s="117" t="s">
        <v>136</v>
      </c>
      <c r="G81" s="118">
        <v>31.51</v>
      </c>
    </row>
    <row r="82" spans="1:7" x14ac:dyDescent="0.2">
      <c r="A82" s="148" t="s">
        <v>237</v>
      </c>
      <c r="B82" s="26" t="s">
        <v>138</v>
      </c>
      <c r="C82" s="147">
        <v>67.16</v>
      </c>
      <c r="E82" s="148" t="s">
        <v>237</v>
      </c>
      <c r="F82" s="26" t="s">
        <v>138</v>
      </c>
      <c r="G82" s="147">
        <v>67.16</v>
      </c>
    </row>
    <row r="83" spans="1:7" x14ac:dyDescent="0.2">
      <c r="A83" s="122" t="s">
        <v>238</v>
      </c>
      <c r="B83" s="117" t="s">
        <v>140</v>
      </c>
      <c r="C83" s="118">
        <v>120.77</v>
      </c>
      <c r="E83" s="122" t="s">
        <v>238</v>
      </c>
      <c r="F83" s="117" t="s">
        <v>140</v>
      </c>
      <c r="G83" s="118">
        <v>120.77</v>
      </c>
    </row>
    <row r="84" spans="1:7" x14ac:dyDescent="0.2">
      <c r="A84" s="149" t="s">
        <v>239</v>
      </c>
      <c r="B84" s="26" t="s">
        <v>23</v>
      </c>
      <c r="C84" s="147">
        <v>5.39</v>
      </c>
      <c r="E84" s="149" t="s">
        <v>239</v>
      </c>
      <c r="F84" s="26" t="s">
        <v>23</v>
      </c>
      <c r="G84" s="147">
        <v>5.31</v>
      </c>
    </row>
    <row r="85" spans="1:7" x14ac:dyDescent="0.2">
      <c r="A85" s="132" t="s">
        <v>240</v>
      </c>
      <c r="B85" s="117" t="s">
        <v>22</v>
      </c>
      <c r="C85" s="118">
        <v>4.82</v>
      </c>
      <c r="E85" s="132" t="s">
        <v>240</v>
      </c>
      <c r="F85" s="117" t="s">
        <v>22</v>
      </c>
      <c r="G85" s="118">
        <v>4.75</v>
      </c>
    </row>
    <row r="86" spans="1:7" x14ac:dyDescent="0.2">
      <c r="A86" s="150" t="s">
        <v>241</v>
      </c>
      <c r="B86" s="26" t="s">
        <v>21</v>
      </c>
      <c r="C86" s="147">
        <v>4.66</v>
      </c>
      <c r="E86" s="150" t="s">
        <v>241</v>
      </c>
      <c r="F86" s="26" t="s">
        <v>21</v>
      </c>
      <c r="G86" s="147">
        <v>4.59</v>
      </c>
    </row>
    <row r="87" spans="1:7" x14ac:dyDescent="0.2">
      <c r="A87" s="132" t="s">
        <v>242</v>
      </c>
      <c r="B87" s="117" t="s">
        <v>148</v>
      </c>
      <c r="C87" s="142">
        <v>3.36</v>
      </c>
      <c r="E87" s="132" t="s">
        <v>242</v>
      </c>
      <c r="F87" s="117" t="s">
        <v>148</v>
      </c>
      <c r="G87" s="142">
        <v>3.31</v>
      </c>
    </row>
    <row r="88" spans="1:7" x14ac:dyDescent="0.2">
      <c r="A88" s="150" t="s">
        <v>243</v>
      </c>
      <c r="B88" s="151" t="s">
        <v>150</v>
      </c>
      <c r="C88" s="144">
        <v>2.33</v>
      </c>
      <c r="E88" s="150" t="s">
        <v>243</v>
      </c>
      <c r="F88" s="178" t="s">
        <v>150</v>
      </c>
      <c r="G88" s="144">
        <v>2.2999999999999998</v>
      </c>
    </row>
    <row r="89" spans="1:7" x14ac:dyDescent="0.2">
      <c r="A89" s="132" t="s">
        <v>244</v>
      </c>
      <c r="B89" s="117" t="s">
        <v>152</v>
      </c>
      <c r="C89" s="142">
        <v>7.94</v>
      </c>
      <c r="E89" s="132" t="s">
        <v>244</v>
      </c>
      <c r="F89" s="117" t="s">
        <v>152</v>
      </c>
      <c r="G89" s="142">
        <v>7.94</v>
      </c>
    </row>
    <row r="90" spans="1:7" x14ac:dyDescent="0.2">
      <c r="A90" s="149" t="s">
        <v>245</v>
      </c>
      <c r="B90" s="26" t="s">
        <v>154</v>
      </c>
      <c r="C90" s="144">
        <v>5.93</v>
      </c>
      <c r="E90" s="149" t="s">
        <v>245</v>
      </c>
      <c r="F90" s="26" t="s">
        <v>154</v>
      </c>
      <c r="G90" s="144">
        <v>5.93</v>
      </c>
    </row>
    <row r="91" spans="1:7" x14ac:dyDescent="0.2">
      <c r="A91" s="152" t="s">
        <v>246</v>
      </c>
      <c r="B91" s="153" t="s">
        <v>247</v>
      </c>
      <c r="C91" s="142">
        <v>0.67</v>
      </c>
      <c r="E91" s="152" t="s">
        <v>246</v>
      </c>
      <c r="F91" s="177" t="s">
        <v>247</v>
      </c>
      <c r="G91" s="142">
        <v>0.67</v>
      </c>
    </row>
    <row r="92" spans="1:7" x14ac:dyDescent="0.2">
      <c r="A92" s="149" t="s">
        <v>248</v>
      </c>
      <c r="B92" s="26" t="s">
        <v>249</v>
      </c>
      <c r="C92" s="144">
        <v>0.67</v>
      </c>
      <c r="E92" s="149" t="s">
        <v>248</v>
      </c>
      <c r="F92" s="26" t="s">
        <v>249</v>
      </c>
      <c r="G92" s="144">
        <v>0.67</v>
      </c>
    </row>
    <row r="93" spans="1:7" x14ac:dyDescent="0.2">
      <c r="A93" s="132" t="s">
        <v>250</v>
      </c>
      <c r="B93" s="117" t="s">
        <v>251</v>
      </c>
      <c r="C93" s="154">
        <v>0.1</v>
      </c>
      <c r="E93" s="132" t="s">
        <v>250</v>
      </c>
      <c r="F93" s="117" t="s">
        <v>251</v>
      </c>
      <c r="G93" s="154">
        <v>0.1</v>
      </c>
    </row>
    <row r="94" spans="1:7" x14ac:dyDescent="0.2">
      <c r="A94" s="149" t="s">
        <v>252</v>
      </c>
      <c r="B94" s="26" t="s">
        <v>253</v>
      </c>
      <c r="C94" s="144">
        <v>0.67</v>
      </c>
      <c r="E94" s="149" t="s">
        <v>252</v>
      </c>
      <c r="F94" s="26" t="s">
        <v>253</v>
      </c>
      <c r="G94" s="144">
        <v>0.67</v>
      </c>
    </row>
    <row r="95" spans="1:7" x14ac:dyDescent="0.2">
      <c r="A95" s="132" t="s">
        <v>254</v>
      </c>
      <c r="B95" s="129" t="s">
        <v>255</v>
      </c>
      <c r="C95" s="142">
        <v>3.5</v>
      </c>
      <c r="E95" s="132" t="s">
        <v>254</v>
      </c>
      <c r="F95" s="129" t="s">
        <v>255</v>
      </c>
      <c r="G95" s="142">
        <v>3.44</v>
      </c>
    </row>
    <row r="96" spans="1:7" x14ac:dyDescent="0.2">
      <c r="A96" s="149" t="s">
        <v>256</v>
      </c>
      <c r="B96" s="155" t="s">
        <v>257</v>
      </c>
      <c r="C96" s="144">
        <v>10.96</v>
      </c>
      <c r="E96" s="149" t="s">
        <v>256</v>
      </c>
      <c r="F96" s="155" t="s">
        <v>257</v>
      </c>
      <c r="G96" s="144">
        <v>10.96</v>
      </c>
    </row>
    <row r="97" spans="1:7" x14ac:dyDescent="0.2">
      <c r="A97" s="132" t="s">
        <v>258</v>
      </c>
      <c r="B97" s="129" t="s">
        <v>259</v>
      </c>
      <c r="C97" s="142">
        <v>6.02</v>
      </c>
      <c r="E97" s="132" t="s">
        <v>258</v>
      </c>
      <c r="F97" s="129" t="s">
        <v>259</v>
      </c>
      <c r="G97" s="142">
        <v>6.02</v>
      </c>
    </row>
    <row r="98" spans="1:7" x14ac:dyDescent="0.2">
      <c r="A98" s="116" t="s">
        <v>260</v>
      </c>
      <c r="B98" s="117" t="s">
        <v>124</v>
      </c>
      <c r="C98" s="142">
        <v>19.86</v>
      </c>
      <c r="E98" s="116" t="s">
        <v>260</v>
      </c>
      <c r="F98" s="117" t="s">
        <v>124</v>
      </c>
      <c r="G98" s="142">
        <v>19.86</v>
      </c>
    </row>
    <row r="99" spans="1:7" x14ac:dyDescent="0.2">
      <c r="A99" s="143" t="s">
        <v>261</v>
      </c>
      <c r="B99" s="26" t="s">
        <v>126</v>
      </c>
      <c r="C99" s="144">
        <v>20.100000000000001</v>
      </c>
      <c r="E99" s="143" t="s">
        <v>261</v>
      </c>
      <c r="F99" s="26" t="s">
        <v>126</v>
      </c>
      <c r="G99" s="144">
        <v>20.100000000000001</v>
      </c>
    </row>
    <row r="100" spans="1:7" x14ac:dyDescent="0.2">
      <c r="A100" s="145" t="s">
        <v>262</v>
      </c>
      <c r="B100" s="117" t="s">
        <v>128</v>
      </c>
      <c r="C100" s="142">
        <v>20.34</v>
      </c>
      <c r="E100" s="145" t="s">
        <v>262</v>
      </c>
      <c r="F100" s="117" t="s">
        <v>128</v>
      </c>
      <c r="G100" s="142">
        <v>20.34</v>
      </c>
    </row>
    <row r="101" spans="1:7" x14ac:dyDescent="0.2">
      <c r="A101" s="146" t="s">
        <v>263</v>
      </c>
      <c r="B101" s="26" t="s">
        <v>130</v>
      </c>
      <c r="C101" s="144">
        <v>26.9</v>
      </c>
      <c r="E101" s="146" t="s">
        <v>263</v>
      </c>
      <c r="F101" s="26" t="s">
        <v>130</v>
      </c>
      <c r="G101" s="144">
        <v>26.9</v>
      </c>
    </row>
    <row r="102" spans="1:7" x14ac:dyDescent="0.2">
      <c r="A102" s="116" t="s">
        <v>264</v>
      </c>
      <c r="B102" s="117" t="s">
        <v>132</v>
      </c>
      <c r="C102" s="142">
        <v>32.04</v>
      </c>
      <c r="E102" s="116" t="s">
        <v>264</v>
      </c>
      <c r="F102" s="117" t="s">
        <v>132</v>
      </c>
      <c r="G102" s="142">
        <v>32.04</v>
      </c>
    </row>
    <row r="103" spans="1:7" x14ac:dyDescent="0.2">
      <c r="A103" s="146" t="s">
        <v>265</v>
      </c>
      <c r="B103" s="26" t="s">
        <v>134</v>
      </c>
      <c r="C103" s="144">
        <v>39.61</v>
      </c>
      <c r="E103" s="146" t="s">
        <v>265</v>
      </c>
      <c r="F103" s="26" t="s">
        <v>134</v>
      </c>
      <c r="G103" s="144">
        <v>39.61</v>
      </c>
    </row>
    <row r="104" spans="1:7" x14ac:dyDescent="0.2">
      <c r="A104" s="116" t="s">
        <v>266</v>
      </c>
      <c r="B104" s="117" t="s">
        <v>136</v>
      </c>
      <c r="C104" s="142">
        <v>54.5</v>
      </c>
      <c r="E104" s="116" t="s">
        <v>266</v>
      </c>
      <c r="F104" s="117" t="s">
        <v>136</v>
      </c>
      <c r="G104" s="142">
        <v>54.5</v>
      </c>
    </row>
    <row r="105" spans="1:7" x14ac:dyDescent="0.2">
      <c r="A105" s="146" t="s">
        <v>267</v>
      </c>
      <c r="B105" s="26" t="s">
        <v>138</v>
      </c>
      <c r="C105" s="144">
        <v>71.22</v>
      </c>
      <c r="E105" s="146" t="s">
        <v>267</v>
      </c>
      <c r="F105" s="26" t="s">
        <v>138</v>
      </c>
      <c r="G105" s="144">
        <v>71.22</v>
      </c>
    </row>
    <row r="106" spans="1:7" x14ac:dyDescent="0.2">
      <c r="A106" s="116" t="s">
        <v>268</v>
      </c>
      <c r="B106" s="117" t="s">
        <v>140</v>
      </c>
      <c r="C106" s="142">
        <v>90.75</v>
      </c>
      <c r="E106" s="116" t="s">
        <v>268</v>
      </c>
      <c r="F106" s="117" t="s">
        <v>140</v>
      </c>
      <c r="G106" s="142">
        <v>90.75</v>
      </c>
    </row>
    <row r="107" spans="1:7" x14ac:dyDescent="0.2">
      <c r="A107" s="149" t="s">
        <v>269</v>
      </c>
      <c r="B107" s="26" t="s">
        <v>23</v>
      </c>
      <c r="C107" s="144">
        <v>11.92</v>
      </c>
      <c r="E107" s="149" t="s">
        <v>269</v>
      </c>
      <c r="F107" s="26" t="s">
        <v>23</v>
      </c>
      <c r="G107" s="144">
        <v>11.92</v>
      </c>
    </row>
    <row r="108" spans="1:7" x14ac:dyDescent="0.2">
      <c r="A108" s="152" t="s">
        <v>270</v>
      </c>
      <c r="B108" s="129" t="s">
        <v>165</v>
      </c>
      <c r="C108" s="142">
        <v>11.92</v>
      </c>
      <c r="E108" s="152" t="s">
        <v>270</v>
      </c>
      <c r="F108" s="129" t="s">
        <v>165</v>
      </c>
      <c r="G108" s="142">
        <v>11.92</v>
      </c>
    </row>
    <row r="109" spans="1:7" x14ac:dyDescent="0.2">
      <c r="A109" s="149" t="s">
        <v>271</v>
      </c>
      <c r="B109" s="26" t="s">
        <v>167</v>
      </c>
      <c r="C109" s="144">
        <v>11.92</v>
      </c>
      <c r="E109" s="149" t="s">
        <v>271</v>
      </c>
      <c r="F109" s="26" t="s">
        <v>167</v>
      </c>
      <c r="G109" s="144">
        <v>11.92</v>
      </c>
    </row>
    <row r="110" spans="1:7" x14ac:dyDescent="0.2">
      <c r="A110" s="132" t="s">
        <v>272</v>
      </c>
      <c r="B110" s="117" t="s">
        <v>169</v>
      </c>
      <c r="C110" s="156">
        <v>6.98</v>
      </c>
      <c r="E110" s="132" t="s">
        <v>272</v>
      </c>
      <c r="F110" s="117" t="s">
        <v>169</v>
      </c>
      <c r="G110" s="156">
        <v>6.98</v>
      </c>
    </row>
    <row r="111" spans="1:7" x14ac:dyDescent="0.2">
      <c r="A111" s="149" t="s">
        <v>273</v>
      </c>
      <c r="B111" s="26" t="s">
        <v>171</v>
      </c>
      <c r="C111" s="157">
        <v>1.1067</v>
      </c>
      <c r="E111" s="149" t="s">
        <v>273</v>
      </c>
      <c r="F111" s="26" t="s">
        <v>171</v>
      </c>
      <c r="G111" s="157">
        <v>1.1067</v>
      </c>
    </row>
    <row r="112" spans="1:7" x14ac:dyDescent="0.2">
      <c r="A112" s="132" t="s">
        <v>274</v>
      </c>
      <c r="B112" s="117" t="s">
        <v>173</v>
      </c>
      <c r="C112" s="156">
        <v>0.55169999999999997</v>
      </c>
      <c r="E112" s="132" t="s">
        <v>274</v>
      </c>
      <c r="F112" s="117" t="s">
        <v>173</v>
      </c>
      <c r="G112" s="156">
        <v>0.55169999999999997</v>
      </c>
    </row>
    <row r="113" spans="1:7" x14ac:dyDescent="0.2">
      <c r="A113" s="152" t="s">
        <v>275</v>
      </c>
      <c r="B113" s="129" t="s">
        <v>175</v>
      </c>
      <c r="C113" s="142">
        <v>81.41</v>
      </c>
      <c r="E113" s="152" t="s">
        <v>275</v>
      </c>
      <c r="F113" s="129" t="s">
        <v>175</v>
      </c>
      <c r="G113" s="142">
        <v>81.41</v>
      </c>
    </row>
    <row r="114" spans="1:7" x14ac:dyDescent="0.2">
      <c r="A114" s="149" t="s">
        <v>176</v>
      </c>
      <c r="B114" s="155" t="s">
        <v>177</v>
      </c>
      <c r="C114" s="144">
        <v>133.55000000000001</v>
      </c>
      <c r="E114" s="149" t="s">
        <v>176</v>
      </c>
      <c r="F114" s="155" t="s">
        <v>177</v>
      </c>
      <c r="G114" s="144">
        <v>133.55000000000001</v>
      </c>
    </row>
    <row r="115" spans="1:7" x14ac:dyDescent="0.2">
      <c r="A115" s="132" t="s">
        <v>178</v>
      </c>
      <c r="B115" s="117" t="s">
        <v>179</v>
      </c>
      <c r="C115" s="142">
        <v>200.33</v>
      </c>
      <c r="E115" s="132" t="s">
        <v>178</v>
      </c>
      <c r="F115" s="117" t="s">
        <v>179</v>
      </c>
      <c r="G115" s="142">
        <v>200.33</v>
      </c>
    </row>
    <row r="116" spans="1:7" x14ac:dyDescent="0.2">
      <c r="A116" s="158" t="s">
        <v>276</v>
      </c>
      <c r="B116" s="105" t="s">
        <v>277</v>
      </c>
      <c r="C116" s="159">
        <v>6.19</v>
      </c>
      <c r="E116" s="158" t="s">
        <v>276</v>
      </c>
      <c r="F116" s="105" t="s">
        <v>277</v>
      </c>
      <c r="G116" s="159">
        <v>6.19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F9"/>
  <sheetViews>
    <sheetView workbookViewId="0">
      <selection activeCell="E3" sqref="E3"/>
    </sheetView>
  </sheetViews>
  <sheetFormatPr defaultRowHeight="15" x14ac:dyDescent="0.25"/>
  <cols>
    <col min="6" max="6" width="8.85546875" customWidth="1"/>
    <col min="22" max="22" width="9.140625" customWidth="1"/>
    <col min="24" max="28" width="9.140625" customWidth="1"/>
  </cols>
  <sheetData>
    <row r="1" spans="1:32" s="3" customFormat="1" x14ac:dyDescent="0.25">
      <c r="A1"/>
      <c r="B1"/>
      <c r="C1"/>
      <c r="D1"/>
      <c r="E1"/>
      <c r="F1">
        <v>1</v>
      </c>
      <c r="G1">
        <f>INDEX(E2:E200,F1)</f>
        <v>0</v>
      </c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 s="175"/>
      <c r="Z1" s="175"/>
      <c r="AA1" s="174"/>
      <c r="AC1" s="174"/>
      <c r="AF1"/>
    </row>
    <row r="3" spans="1:32" x14ac:dyDescent="0.25">
      <c r="A3" t="s">
        <v>313</v>
      </c>
      <c r="C3">
        <v>4</v>
      </c>
      <c r="D3" t="str">
        <f>INDEX(A3:A7,C3)</f>
        <v>Approved</v>
      </c>
    </row>
    <row r="4" spans="1:32" x14ac:dyDescent="0.25">
      <c r="A4" t="s">
        <v>314</v>
      </c>
    </row>
    <row r="5" spans="1:32" x14ac:dyDescent="0.25">
      <c r="A5" t="s">
        <v>302</v>
      </c>
    </row>
    <row r="6" spans="1:32" x14ac:dyDescent="0.25">
      <c r="A6" t="s">
        <v>315</v>
      </c>
    </row>
    <row r="7" spans="1:32" x14ac:dyDescent="0.25">
      <c r="A7" t="s">
        <v>316</v>
      </c>
    </row>
    <row r="9" spans="1:32" x14ac:dyDescent="0.25">
      <c r="A9" t="e">
        <f>CONCATENATE("C:\Users\jide\Desktop\Cicero\",RAIndex, " ", Menu!H8, " ",Menu!H4)</f>
        <v>#N/A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Menu</vt:lpstr>
      <vt:lpstr>Repository</vt:lpstr>
      <vt:lpstr>Checklist</vt:lpstr>
      <vt:lpstr>Water Sewer Calc</vt:lpstr>
      <vt:lpstr>DR</vt:lpstr>
      <vt:lpstr>CR</vt:lpstr>
      <vt:lpstr>Mail Merge</vt:lpstr>
      <vt:lpstr>Tariffs</vt:lpstr>
      <vt:lpstr>List Gen</vt:lpstr>
      <vt:lpstr>Beg</vt:lpstr>
      <vt:lpstr>Beginning</vt:lpstr>
      <vt:lpstr>ChangeDate</vt:lpstr>
      <vt:lpstr>CustRef</vt:lpstr>
      <vt:lpstr>CustRefRep</vt:lpstr>
      <vt:lpstr>End</vt:lpstr>
      <vt:lpstr>Fin</vt:lpstr>
      <vt:lpstr>Checklist!Print_Area</vt:lpstr>
      <vt:lpstr>DR!Print_Area</vt:lpstr>
      <vt:lpstr>'Water Sewer Calc'!Print_Area</vt:lpstr>
      <vt:lpstr>'Water Sewer Calc'!Print_Titles</vt:lpstr>
      <vt:lpstr>RAIndex</vt:lpstr>
      <vt:lpstr>RateChangeDate</vt:lpstr>
      <vt:lpstr>Repository</vt:lpstr>
    </vt:vector>
  </TitlesOfParts>
  <Company>The City of Tulsa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Ide, Jacob</dc:creator>
  <cp:lastModifiedBy>Ide, Jacob</cp:lastModifiedBy>
  <cp:lastPrinted>2018-08-16T23:52:24Z</cp:lastPrinted>
  <dcterms:created xsi:type="dcterms:W3CDTF">2018-08-16T19:47:12Z</dcterms:created>
  <dcterms:modified xsi:type="dcterms:W3CDTF">2018-08-31T21:27:58Z</dcterms:modified>
</cp:coreProperties>
</file>